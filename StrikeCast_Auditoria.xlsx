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ks" sheetId="1" state="visible" r:id="rId3"/>
    <sheet name="Resumen" sheetId="2" state="visible" r:id="rId4"/>
    <sheet name="Cómo registr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<sst xmlns="http://schemas.openxmlformats.org/spreadsheetml/2006/main" count="587" uniqueCount="197">
  <si>
    <t xml:space="preserve">#</t>
  </si>
  <si>
    <t xml:space="preserve">Fecha</t>
  </si>
  <si>
    <t xml:space="preserve">Partido</t>
  </si>
  <si>
    <t xml:space="preserve">Selección</t>
  </si>
  <si>
    <t xml:space="preserve">Equipo</t>
  </si>
  <si>
    <t xml:space="preserve">Tipo</t>
  </si>
  <si>
    <t xml:space="preserve">Momio</t>
  </si>
  <si>
    <t xml:space="preserve">Live</t>
  </si>
  <si>
    <t xml:space="preserve">Editado</t>
  </si>
  <si>
    <t xml:space="preserve">Resultado</t>
  </si>
  <si>
    <t xml:space="preserve">Stake (u)</t>
  </si>
  <si>
    <t xml:space="preserve">Utilidad (u)</t>
  </si>
  <si>
    <t xml:space="preserve">Acum (u)</t>
  </si>
  <si>
    <t xml:space="preserve">2026-07-26</t>
  </si>
  <si>
    <t xml:space="preserve">Tampa Bay Rays vs Cleveland Guardians</t>
  </si>
  <si>
    <t xml:space="preserve">Tampa Bay Rays ML</t>
  </si>
  <si>
    <t xml:space="preserve">Tampa Bay Rays</t>
  </si>
  <si>
    <t xml:space="preserve">ML</t>
  </si>
  <si>
    <t xml:space="preserve">No</t>
  </si>
  <si>
    <t xml:space="preserve">Sí</t>
  </si>
  <si>
    <t xml:space="preserve">GANADO</t>
  </si>
  <si>
    <t xml:space="preserve">Baltimore Orioles vs Atlanta Braves</t>
  </si>
  <si>
    <t xml:space="preserve">Atlanta Braves ML</t>
  </si>
  <si>
    <t xml:space="preserve">Atlanta Braves</t>
  </si>
  <si>
    <t xml:space="preserve">Pittsburgh Pirates vs Chicago Cubs</t>
  </si>
  <si>
    <t xml:space="preserve">Pittsburgh Pirates ML</t>
  </si>
  <si>
    <t xml:space="preserve">Pittsburgh Pirates</t>
  </si>
  <si>
    <t xml:space="preserve">Boston Red Sox vs Toronto Blue Jays</t>
  </si>
  <si>
    <t xml:space="preserve">Boston Red Sox ML</t>
  </si>
  <si>
    <t xml:space="preserve">Boston Red Sox</t>
  </si>
  <si>
    <t xml:space="preserve">Washington Nationals vs Arizona Diamondbacks</t>
  </si>
  <si>
    <t xml:space="preserve">Arizona Diamondbacks ML</t>
  </si>
  <si>
    <t xml:space="preserve">Arizona Diamondbacks</t>
  </si>
  <si>
    <t xml:space="preserve">PERDIDO</t>
  </si>
  <si>
    <t xml:space="preserve">New York Mets vs Los Angeles Dodgers</t>
  </si>
  <si>
    <t xml:space="preserve">Los Angeles Dodgers ML</t>
  </si>
  <si>
    <t xml:space="preserve">Los Angeles Dodgers</t>
  </si>
  <si>
    <t xml:space="preserve">STL Cardinals vs CIN Reds</t>
  </si>
  <si>
    <t xml:space="preserve">CIN Reds ML</t>
  </si>
  <si>
    <t xml:space="preserve">CIN Reds</t>
  </si>
  <si>
    <t xml:space="preserve">2026-07-27</t>
  </si>
  <si>
    <t xml:space="preserve">Texas Rangers vs Seattle Mariners</t>
  </si>
  <si>
    <t xml:space="preserve">Seattle Mariners ML</t>
  </si>
  <si>
    <t xml:space="preserve">Seattle Mariners</t>
  </si>
  <si>
    <t xml:space="preserve">Detroit Tigers vs Baltimore Orioles</t>
  </si>
  <si>
    <t xml:space="preserve">Innings 1 a 3 - Total</t>
  </si>
  <si>
    <t xml:space="preserve">Total</t>
  </si>
  <si>
    <t xml:space="preserve">Pittsburgh Pirates vs Arizona Diamondbacks</t>
  </si>
  <si>
    <t xml:space="preserve">Totales (incl. extra innings)</t>
  </si>
  <si>
    <t xml:space="preserve">New York Mets vs Atlanta Braves</t>
  </si>
  <si>
    <t xml:space="preserve">Cincinnati Reds vs Cleveland Guardians</t>
  </si>
  <si>
    <t xml:space="preserve">Cleveland Guardians ML</t>
  </si>
  <si>
    <t xml:space="preserve">Cleveland Guardians</t>
  </si>
  <si>
    <t xml:space="preserve">Miami Marlins vs Philadelphia Phillies</t>
  </si>
  <si>
    <t xml:space="preserve">Miami Marlins ML</t>
  </si>
  <si>
    <t xml:space="preserve">Miami Marlins</t>
  </si>
  <si>
    <t xml:space="preserve">RL</t>
  </si>
  <si>
    <t xml:space="preserve">2026-07-28</t>
  </si>
  <si>
    <t xml:space="preserve">Detroit Tigers ML</t>
  </si>
  <si>
    <t xml:space="preserve">Detroit Tigers</t>
  </si>
  <si>
    <t xml:space="preserve">Miami vs Philadelphia Phillies</t>
  </si>
  <si>
    <t xml:space="preserve">Miami ML</t>
  </si>
  <si>
    <t xml:space="preserve">Miami</t>
  </si>
  <si>
    <t xml:space="preserve">Piratas vs Arizona</t>
  </si>
  <si>
    <t xml:space="preserve">Arizona ML</t>
  </si>
  <si>
    <t xml:space="preserve">Arizona</t>
  </si>
  <si>
    <t xml:space="preserve">Tampa vs Texas</t>
  </si>
  <si>
    <t xml:space="preserve">Tampa ML</t>
  </si>
  <si>
    <t xml:space="preserve">Tampa</t>
  </si>
  <si>
    <t xml:space="preserve">Kansas vs Minnesota</t>
  </si>
  <si>
    <t xml:space="preserve">Minnesota ML</t>
  </si>
  <si>
    <t xml:space="preserve">Minnesota</t>
  </si>
  <si>
    <t xml:space="preserve">Cincinnati Reds vs Cleveland</t>
  </si>
  <si>
    <t xml:space="preserve">Cincinnati Reds ML</t>
  </si>
  <si>
    <t xml:space="preserve">Cincinnati Reds</t>
  </si>
  <si>
    <t xml:space="preserve">New York Yankees vs Chicago White Sox</t>
  </si>
  <si>
    <t xml:space="preserve">Chicago White Sox ML</t>
  </si>
  <si>
    <t xml:space="preserve">Chicago White Sox</t>
  </si>
  <si>
    <t xml:space="preserve">Los Angeles Dodgers vs Seattle Mariners</t>
  </si>
  <si>
    <t xml:space="preserve">Seattle Mariners +1.5</t>
  </si>
  <si>
    <t xml:space="preserve">San Diego Padres vs COL Rockies</t>
  </si>
  <si>
    <t xml:space="preserve">San Diego Padres</t>
  </si>
  <si>
    <t xml:space="preserve">2026-07-29</t>
  </si>
  <si>
    <t xml:space="preserve">St Louis Cardinals vs Chicago Cubs</t>
  </si>
  <si>
    <t xml:space="preserve">St Louis Cardinals ML</t>
  </si>
  <si>
    <t xml:space="preserve">St Louis Cardinals</t>
  </si>
  <si>
    <t xml:space="preserve">Chicago White Sox vs New York Yankees</t>
  </si>
  <si>
    <t xml:space="preserve">Athletics vs Boston Red Sox</t>
  </si>
  <si>
    <t xml:space="preserve">2026-07-30</t>
  </si>
  <si>
    <t xml:space="preserve">Tampa Bay Rays vs Texas Rangers</t>
  </si>
  <si>
    <t xml:space="preserve">Minnesota Twins vs Kansas City Royals</t>
  </si>
  <si>
    <t xml:space="preserve">Under de 7.5 carreras</t>
  </si>
  <si>
    <t xml:space="preserve">Chicago Cubs ML</t>
  </si>
  <si>
    <t xml:space="preserve">Chicago Cubs</t>
  </si>
  <si>
    <t xml:space="preserve">New York Mets vs Miami Marlins</t>
  </si>
  <si>
    <t xml:space="preserve">Cincinnati Reds vs Pittsburgh Pirates</t>
  </si>
  <si>
    <t xml:space="preserve">Athletics ML</t>
  </si>
  <si>
    <t xml:space="preserve">Athletics</t>
  </si>
  <si>
    <t xml:space="preserve">2026-07-31</t>
  </si>
  <si>
    <t xml:space="preserve">Chicago Cubs vs New York Yankees</t>
  </si>
  <si>
    <t xml:space="preserve">Innings 1 a 5 NYY (+0.5)</t>
  </si>
  <si>
    <t xml:space="preserve">Baltimore Orioles vs Philadelphia Phillies</t>
  </si>
  <si>
    <t xml:space="preserve">Baltimore Orioles ML</t>
  </si>
  <si>
    <t xml:space="preserve">Baltimore Orioles</t>
  </si>
  <si>
    <t xml:space="preserve">Toronto Blue Jays vs St. Louis Cardinals</t>
  </si>
  <si>
    <t xml:space="preserve">1 Inning  Under de 0.5 Carreras</t>
  </si>
  <si>
    <t xml:space="preserve">Minnesota Twins vs Seattle Mariners</t>
  </si>
  <si>
    <t xml:space="preserve">Minnesota Twins ML</t>
  </si>
  <si>
    <t xml:space="preserve">Minnesota Twins</t>
  </si>
  <si>
    <t xml:space="preserve">2026-08-01</t>
  </si>
  <si>
    <t xml:space="preserve">Cleveland Guardians vs Arizona Diamondbacks</t>
  </si>
  <si>
    <t xml:space="preserve">Colorado Rockies vs Kansas City Royals</t>
  </si>
  <si>
    <t xml:space="preserve">Colorado Rockies ML</t>
  </si>
  <si>
    <t xml:space="preserve">Colorado Rockies</t>
  </si>
  <si>
    <t xml:space="preserve">Houston Astros vs Texas Rangers</t>
  </si>
  <si>
    <t xml:space="preserve">Texas Rangers ML</t>
  </si>
  <si>
    <t xml:space="preserve">Texas Rangers</t>
  </si>
  <si>
    <t xml:space="preserve">Atlanta Braves vs Washington Nationals</t>
  </si>
  <si>
    <t xml:space="preserve">Over de 9.5</t>
  </si>
  <si>
    <t xml:space="preserve">Los Angeles Dodgers vs Boston Red Sox</t>
  </si>
  <si>
    <t xml:space="preserve">2026-08-02</t>
  </si>
  <si>
    <t xml:space="preserve">Baltimore Orioles vs Phildelphia Phillies</t>
  </si>
  <si>
    <t xml:space="preserve">Under de 0.5 Carreras 1er Inning</t>
  </si>
  <si>
    <t xml:space="preserve">Toronto Blue Jays vs St Loius Cardinals</t>
  </si>
  <si>
    <t xml:space="preserve">Toronto Blue Jays ML (Perdiendo por una carrera)</t>
  </si>
  <si>
    <t xml:space="preserve">Toronto Blue Jays</t>
  </si>
  <si>
    <t xml:space="preserve">2026-08-03</t>
  </si>
  <si>
    <t xml:space="preserve">Philadelphia Phillies vs Washington Nationals</t>
  </si>
  <si>
    <t xml:space="preserve">Washington Nationals ML</t>
  </si>
  <si>
    <t xml:space="preserve">Washington Nationals</t>
  </si>
  <si>
    <t xml:space="preserve">New York Yankees vs St. Louis Cardinals</t>
  </si>
  <si>
    <t xml:space="preserve">New York Yankees Handicap -1</t>
  </si>
  <si>
    <t xml:space="preserve">Milwaukee Brewers vs Pittsburgh Pirates</t>
  </si>
  <si>
    <t xml:space="preserve">Milwaukee Brewers ML</t>
  </si>
  <si>
    <t xml:space="preserve">Milwaukee Brewers</t>
  </si>
  <si>
    <t xml:space="preserve">Chicago Cubs vs Los Angeles Dodgers</t>
  </si>
  <si>
    <t xml:space="preserve">Texas Rangers vs San Francisco Giants</t>
  </si>
  <si>
    <t xml:space="preserve">Houston Astros vs Toronto Blue Jays</t>
  </si>
  <si>
    <t xml:space="preserve">Toronto Blue Jays ML</t>
  </si>
  <si>
    <t xml:space="preserve">Colorado Rockies vs Tampa Bay Rays</t>
  </si>
  <si>
    <t xml:space="preserve">Arizona Diamondbacks vs San Diego Padres</t>
  </si>
  <si>
    <t xml:space="preserve">2026-08-24</t>
  </si>
  <si>
    <t xml:space="preserve">Tampa Bay Rays vs Detroit Tigers</t>
  </si>
  <si>
    <t xml:space="preserve">Boston Red Sox vs Miami Marlins</t>
  </si>
  <si>
    <t xml:space="preserve">Colorado Rockies vs Washington Nationals</t>
  </si>
  <si>
    <t xml:space="preserve">Texas Rangers vs Chicago White Sox</t>
  </si>
  <si>
    <t xml:space="preserve">Chicago Cubs vs Arizona Diamondbacks</t>
  </si>
  <si>
    <t xml:space="preserve">Minnesota Twins vs Athletics</t>
  </si>
  <si>
    <t xml:space="preserve">Pittsburgh Pirates vs San Diego Padres</t>
  </si>
  <si>
    <t xml:space="preserve">San Diego Padres ML</t>
  </si>
  <si>
    <t xml:space="preserve">2026-08-29</t>
  </si>
  <si>
    <t xml:space="preserve">Boston Red Sox vs New York Yankees</t>
  </si>
  <si>
    <t xml:space="preserve">Los Angeles Dodgers vs Detroit Tigers</t>
  </si>
  <si>
    <t xml:space="preserve">Pittsburgh Pirates vs St. Louis Cardinals</t>
  </si>
  <si>
    <t xml:space="preserve">Seattle Mariners vs Toronto Blue Jays</t>
  </si>
  <si>
    <t xml:space="preserve">TOTALES</t>
  </si>
  <si>
    <t xml:space="preserve">AUDITORÍA STRIKECAST MLB</t>
  </si>
  <si>
    <t xml:space="preserve">Periodo 26 jul – 29 ago 2026 · 66 picks con resultado verificado (✅/❌)</t>
  </si>
  <si>
    <t xml:space="preserve">MÉTRICAS GLOBALES</t>
  </si>
  <si>
    <t xml:space="preserve">Picks resueltos</t>
  </si>
  <si>
    <t xml:space="preserve">Ganados</t>
  </si>
  <si>
    <t xml:space="preserve">Perdidos</t>
  </si>
  <si>
    <t xml:space="preserve">Win rate</t>
  </si>
  <si>
    <t xml:space="preserve">Momio promedio</t>
  </si>
  <si>
    <t xml:space="preserve">Unidades apostadas</t>
  </si>
  <si>
    <t xml:space="preserve">ROI / Yield</t>
  </si>
  <si>
    <t xml:space="preserve">Racha ganadora máx.</t>
  </si>
  <si>
    <t xml:space="preserve">Racha perdedora máx.</t>
  </si>
  <si>
    <t xml:space="preserve">Drawdown máx. (u)</t>
  </si>
  <si>
    <t xml:space="preserve">GANANCIA HIPOTÉTICA (según stake)</t>
  </si>
  <si>
    <t xml:space="preserve">Stake/pick</t>
  </si>
  <si>
    <t xml:space="preserve">Utilidad</t>
  </si>
  <si>
    <t xml:space="preserve">Total apostado</t>
  </si>
  <si>
    <t xml:space="preserve">$100</t>
  </si>
  <si>
    <t xml:space="preserve">$500</t>
  </si>
  <si>
    <t xml:space="preserve">$1000</t>
  </si>
  <si>
    <t xml:space="preserve">POR RANGO DE MOMIO</t>
  </si>
  <si>
    <t xml:space="preserve">Rango</t>
  </si>
  <si>
    <t xml:space="preserve">ROI</t>
  </si>
  <si>
    <t xml:space="preserve">1.40-1.60</t>
  </si>
  <si>
    <t xml:space="preserve">1.60-1.80</t>
  </si>
  <si>
    <t xml:space="preserve">1.80-2.00</t>
  </si>
  <si>
    <t xml:space="preserve">+2.00</t>
  </si>
  <si>
    <t xml:space="preserve">LIVE vs PREGAME</t>
  </si>
  <si>
    <t xml:space="preserve">Pregame</t>
  </si>
  <si>
    <t xml:space="preserve">CÓMO SEGUIR REGISTRANDO — StrikeCast</t>
  </si>
  <si>
    <t xml:space="preserve">Este libro audita solo los picks con resultado verificable (✅/❌ por reply).</t>
  </si>
  <si>
    <t xml:space="preserve">Para que las próximas auditorías sean sólidas, sigue estas reglas:</t>
  </si>
  <si>
    <t xml:space="preserve">1. Un pick = un mensaje. Nunca metas 2 selecciones en el mismo mensaje.</t>
  </si>
  <si>
    <t xml:space="preserve">2. Responde SIEMPRE al pick con ✅ (ganado) o ❌ (perdido). Sin excepción, también en días malos.</t>
  </si>
  <si>
    <t xml:space="preserve">3. NO edites el mensaje del pick después de publicarlo. La edición borra el original y mata la credibilidad de la auditoría.</t>
  </si>
  <si>
    <t xml:space="preserve">4. Formato recomendado del pick:</t>
  </si>
  <si>
    <t xml:space="preserve">     🎯 Pick: &lt;Equipo&gt; ML   |   💰 Momio: 1.85   |   🕒 Hora   |   ⚾ A vs B</t>
  </si>
  <si>
    <t xml:space="preserve">5. Marca "en vivo" en el texto cuando sea live, para separar live vs pregame.</t>
  </si>
  <si>
    <t xml:space="preserve">Columnas editables en la hoja Picks (celdas amarillas = revisar):</t>
  </si>
  <si>
    <t xml:space="preserve">   Momio y Resultado son los que alimentan Utilidad y ROI automáticamente.</t>
  </si>
  <si>
    <t xml:space="preserve">Meta antes de cobrar: ~200 picks limpios y continuos con ROI sostenido &gt; +8-10%.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</si>
</sst>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\+0.00;\-0.00"/>
    <numFmt numFmtId="168" formatCode="General"/>
    <numFmt numFmtId="169" formatCode="0.0%"/>
    <numFmt numFmtId="170" formatCode="\$#,##0"/>
    <numFmt numFmtId="171" formatCode="\+0.0%;\-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7" min="6" style="1" width="7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1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n">
        <v>86</v>
      </c>
      <c r="B2" s="3" t="s">
        <v>13</v>
      </c>
      <c r="C2" s="4" t="s">
        <v>14</v>
      </c>
      <c r="D2" s="4" t="s">
        <v>15</v>
      </c>
      <c r="E2" s="4" t="s">
        <v>16</v>
      </c>
      <c r="F2" s="3" t="s">
        <v>17</v>
      </c>
      <c r="G2" s="5" t="n">
        <v>1.8</v>
      </c>
      <c r="H2" s="3" t="s">
        <v>18</v>
      </c>
      <c r="I2" s="3" t="s">
        <v>19</v>
      </c>
      <c r="J2" s="6" t="s">
        <v>20</v>
      </c>
      <c r="K2" s="7" t="n">
        <v>1</v>
      </c>
      <c r="L2" s="8" t="n">
        <f aca="false">IF(J2="GANADO",G2-1,-1)</f>
        <v>0.8</v>
      </c>
      <c r="M2" s="9" t="n">
        <f aca="false">L2</f>
        <v>0.8</v>
      </c>
    </row>
    <row r="3" customFormat="false" ht="15" hidden="false" customHeight="true" outlineLevel="0" collapsed="false">
      <c r="A3" s="3" t="n">
        <v>88</v>
      </c>
      <c r="B3" s="3" t="s">
        <v>13</v>
      </c>
      <c r="C3" s="4" t="s">
        <v>21</v>
      </c>
      <c r="D3" s="4" t="s">
        <v>22</v>
      </c>
      <c r="E3" s="4" t="s">
        <v>23</v>
      </c>
      <c r="F3" s="3" t="s">
        <v>17</v>
      </c>
      <c r="G3" s="5" t="n">
        <v>1.91</v>
      </c>
      <c r="H3" s="3" t="s">
        <v>18</v>
      </c>
      <c r="I3" s="3" t="s">
        <v>18</v>
      </c>
      <c r="J3" s="6" t="s">
        <v>20</v>
      </c>
      <c r="K3" s="7" t="n">
        <v>1</v>
      </c>
      <c r="L3" s="8" t="n">
        <f aca="false">IF(J3="GANADO",G3-1,-1)</f>
        <v>0.91</v>
      </c>
      <c r="M3" s="9" t="n">
        <f aca="false">M2+L3</f>
        <v>1.71</v>
      </c>
    </row>
    <row r="4" customFormat="false" ht="15" hidden="false" customHeight="true" outlineLevel="0" collapsed="false">
      <c r="A4" s="3" t="n">
        <v>89</v>
      </c>
      <c r="B4" s="3" t="s">
        <v>13</v>
      </c>
      <c r="C4" s="4" t="s">
        <v>24</v>
      </c>
      <c r="D4" s="4" t="s">
        <v>25</v>
      </c>
      <c r="E4" s="4" t="s">
        <v>26</v>
      </c>
      <c r="F4" s="3" t="s">
        <v>17</v>
      </c>
      <c r="G4" s="5" t="n">
        <v>1.77</v>
      </c>
      <c r="H4" s="3" t="s">
        <v>18</v>
      </c>
      <c r="I4" s="3" t="s">
        <v>18</v>
      </c>
      <c r="J4" s="6" t="s">
        <v>20</v>
      </c>
      <c r="K4" s="7" t="n">
        <v>1</v>
      </c>
      <c r="L4" s="8" t="n">
        <f aca="false">IF(J4="GANADO",G4-1,-1)</f>
        <v>0.77</v>
      </c>
      <c r="M4" s="9" t="n">
        <f aca="false">M3+L4</f>
        <v>2.48</v>
      </c>
    </row>
    <row r="5" customFormat="false" ht="15" hidden="false" customHeight="true" outlineLevel="0" collapsed="false">
      <c r="A5" s="3" t="n">
        <v>90</v>
      </c>
      <c r="B5" s="3" t="s">
        <v>13</v>
      </c>
      <c r="C5" s="4" t="s">
        <v>27</v>
      </c>
      <c r="D5" s="4" t="s">
        <v>28</v>
      </c>
      <c r="E5" s="4" t="s">
        <v>29</v>
      </c>
      <c r="F5" s="3" t="s">
        <v>17</v>
      </c>
      <c r="G5" s="5" t="n">
        <v>1.74</v>
      </c>
      <c r="H5" s="3" t="s">
        <v>18</v>
      </c>
      <c r="I5" s="3" t="s">
        <v>18</v>
      </c>
      <c r="J5" s="6" t="s">
        <v>20</v>
      </c>
      <c r="K5" s="7" t="n">
        <v>1</v>
      </c>
      <c r="L5" s="8" t="n">
        <f aca="false">IF(J5="GANADO",G5-1,-1)</f>
        <v>0.74</v>
      </c>
      <c r="M5" s="9" t="n">
        <f aca="false">M4+L5</f>
        <v>3.22</v>
      </c>
    </row>
    <row r="6" customFormat="false" ht="15" hidden="false" customHeight="true" outlineLevel="0" collapsed="false">
      <c r="A6" s="3" t="n">
        <v>91</v>
      </c>
      <c r="B6" s="3" t="s">
        <v>13</v>
      </c>
      <c r="C6" s="4" t="s">
        <v>30</v>
      </c>
      <c r="D6" s="4" t="s">
        <v>31</v>
      </c>
      <c r="E6" s="4" t="s">
        <v>32</v>
      </c>
      <c r="F6" s="3" t="s">
        <v>17</v>
      </c>
      <c r="G6" s="5" t="n">
        <v>1.9</v>
      </c>
      <c r="H6" s="3" t="s">
        <v>18</v>
      </c>
      <c r="I6" s="3" t="s">
        <v>18</v>
      </c>
      <c r="J6" s="10" t="s">
        <v>33</v>
      </c>
      <c r="K6" s="7" t="n">
        <v>1</v>
      </c>
      <c r="L6" s="8" t="n">
        <f aca="false">IF(J6="GANADO",G6-1,-1)</f>
        <v>-1</v>
      </c>
      <c r="M6" s="9" t="n">
        <f aca="false">M5+L6</f>
        <v>2.22</v>
      </c>
    </row>
    <row r="7" customFormat="false" ht="15" hidden="false" customHeight="true" outlineLevel="0" collapsed="false">
      <c r="A7" s="3" t="n">
        <v>92</v>
      </c>
      <c r="B7" s="3" t="s">
        <v>13</v>
      </c>
      <c r="C7" s="4" t="s">
        <v>34</v>
      </c>
      <c r="D7" s="4" t="s">
        <v>35</v>
      </c>
      <c r="E7" s="4" t="s">
        <v>36</v>
      </c>
      <c r="F7" s="3" t="s">
        <v>17</v>
      </c>
      <c r="G7" s="5" t="n">
        <v>1.67</v>
      </c>
      <c r="H7" s="3" t="s">
        <v>18</v>
      </c>
      <c r="I7" s="3" t="s">
        <v>18</v>
      </c>
      <c r="J7" s="10" t="s">
        <v>33</v>
      </c>
      <c r="K7" s="7" t="n">
        <v>1</v>
      </c>
      <c r="L7" s="8" t="n">
        <f aca="false">IF(J7="GANADO",G7-1,-1)</f>
        <v>-1</v>
      </c>
      <c r="M7" s="9" t="n">
        <f aca="false">M6+L7</f>
        <v>1.22</v>
      </c>
    </row>
    <row r="8" customFormat="false" ht="15" hidden="false" customHeight="true" outlineLevel="0" collapsed="false">
      <c r="A8" s="3" t="n">
        <v>94</v>
      </c>
      <c r="B8" s="3" t="s">
        <v>13</v>
      </c>
      <c r="C8" s="4" t="s">
        <v>37</v>
      </c>
      <c r="D8" s="4" t="s">
        <v>38</v>
      </c>
      <c r="E8" s="4" t="s">
        <v>39</v>
      </c>
      <c r="F8" s="3" t="s">
        <v>17</v>
      </c>
      <c r="G8" s="5" t="n">
        <v>2.55</v>
      </c>
      <c r="H8" s="3" t="s">
        <v>19</v>
      </c>
      <c r="I8" s="3" t="s">
        <v>19</v>
      </c>
      <c r="J8" s="6" t="s">
        <v>20</v>
      </c>
      <c r="K8" s="7" t="n">
        <v>1</v>
      </c>
      <c r="L8" s="8" t="n">
        <f aca="false">IF(J8="GANADO",G8-1,-1)</f>
        <v>1.55</v>
      </c>
      <c r="M8" s="9" t="n">
        <f aca="false">M7+L8</f>
        <v>2.77</v>
      </c>
    </row>
    <row r="9" customFormat="false" ht="15" hidden="false" customHeight="true" outlineLevel="0" collapsed="false">
      <c r="A9" s="3" t="n">
        <v>105</v>
      </c>
      <c r="B9" s="3" t="s">
        <v>40</v>
      </c>
      <c r="C9" s="4" t="s">
        <v>41</v>
      </c>
      <c r="D9" s="4" t="s">
        <v>42</v>
      </c>
      <c r="E9" s="4" t="s">
        <v>43</v>
      </c>
      <c r="F9" s="3" t="s">
        <v>17</v>
      </c>
      <c r="G9" s="5" t="n">
        <v>1.77</v>
      </c>
      <c r="H9" s="3" t="s">
        <v>18</v>
      </c>
      <c r="I9" s="3" t="s">
        <v>19</v>
      </c>
      <c r="J9" s="10" t="s">
        <v>33</v>
      </c>
      <c r="K9" s="7" t="n">
        <v>1</v>
      </c>
      <c r="L9" s="8" t="n">
        <f aca="false">IF(J9="GANADO",G9-1,-1)</f>
        <v>-1</v>
      </c>
      <c r="M9" s="9" t="n">
        <f aca="false">M8+L9</f>
        <v>1.77</v>
      </c>
    </row>
    <row r="10" customFormat="false" ht="15" hidden="false" customHeight="true" outlineLevel="0" collapsed="false">
      <c r="A10" s="3" t="n">
        <v>106</v>
      </c>
      <c r="B10" s="3" t="s">
        <v>40</v>
      </c>
      <c r="C10" s="4" t="s">
        <v>44</v>
      </c>
      <c r="D10" s="4" t="s">
        <v>45</v>
      </c>
      <c r="E10" s="4" t="s">
        <v>45</v>
      </c>
      <c r="F10" s="3" t="s">
        <v>46</v>
      </c>
      <c r="G10" s="5" t="n">
        <v>2</v>
      </c>
      <c r="H10" s="3" t="s">
        <v>18</v>
      </c>
      <c r="I10" s="3" t="s">
        <v>19</v>
      </c>
      <c r="J10" s="10" t="s">
        <v>33</v>
      </c>
      <c r="K10" s="7" t="n">
        <v>1</v>
      </c>
      <c r="L10" s="8" t="n">
        <f aca="false">IF(J10="GANADO",G10-1,-1)</f>
        <v>-1</v>
      </c>
      <c r="M10" s="9" t="n">
        <f aca="false">M9+L10</f>
        <v>0.77</v>
      </c>
    </row>
    <row r="11" customFormat="false" ht="15" hidden="false" customHeight="true" outlineLevel="0" collapsed="false">
      <c r="A11" s="3" t="n">
        <v>107</v>
      </c>
      <c r="B11" s="3" t="s">
        <v>40</v>
      </c>
      <c r="C11" s="4" t="s">
        <v>47</v>
      </c>
      <c r="D11" s="4" t="s">
        <v>48</v>
      </c>
      <c r="E11" s="4" t="s">
        <v>48</v>
      </c>
      <c r="F11" s="3" t="s">
        <v>46</v>
      </c>
      <c r="G11" s="5" t="n">
        <v>1.83</v>
      </c>
      <c r="H11" s="3" t="s">
        <v>18</v>
      </c>
      <c r="I11" s="3" t="s">
        <v>19</v>
      </c>
      <c r="J11" s="6" t="s">
        <v>20</v>
      </c>
      <c r="K11" s="7" t="n">
        <v>1</v>
      </c>
      <c r="L11" s="8" t="n">
        <f aca="false">IF(J11="GANADO",G11-1,-1)</f>
        <v>0.83</v>
      </c>
      <c r="M11" s="9" t="n">
        <f aca="false">M10+L11</f>
        <v>1.6</v>
      </c>
    </row>
    <row r="12" customFormat="false" ht="15" hidden="false" customHeight="true" outlineLevel="0" collapsed="false">
      <c r="A12" s="3" t="n">
        <v>108</v>
      </c>
      <c r="B12" s="3" t="s">
        <v>40</v>
      </c>
      <c r="C12" s="4" t="s">
        <v>49</v>
      </c>
      <c r="D12" s="4" t="s">
        <v>22</v>
      </c>
      <c r="E12" s="4" t="s">
        <v>23</v>
      </c>
      <c r="F12" s="3" t="s">
        <v>17</v>
      </c>
      <c r="G12" s="5" t="n">
        <v>1.93</v>
      </c>
      <c r="H12" s="3" t="s">
        <v>18</v>
      </c>
      <c r="I12" s="3" t="s">
        <v>19</v>
      </c>
      <c r="J12" s="10" t="s">
        <v>33</v>
      </c>
      <c r="K12" s="7" t="n">
        <v>1</v>
      </c>
      <c r="L12" s="8" t="n">
        <f aca="false">IF(J12="GANADO",G12-1,-1)</f>
        <v>-1</v>
      </c>
      <c r="M12" s="9" t="n">
        <f aca="false">M11+L12</f>
        <v>0.6</v>
      </c>
    </row>
    <row r="13" customFormat="false" ht="15" hidden="false" customHeight="true" outlineLevel="0" collapsed="false">
      <c r="A13" s="3" t="n">
        <v>109</v>
      </c>
      <c r="B13" s="3" t="s">
        <v>40</v>
      </c>
      <c r="C13" s="4" t="s">
        <v>50</v>
      </c>
      <c r="D13" s="4" t="s">
        <v>51</v>
      </c>
      <c r="E13" s="4" t="s">
        <v>52</v>
      </c>
      <c r="F13" s="3" t="s">
        <v>17</v>
      </c>
      <c r="G13" s="5" t="n">
        <v>2.4</v>
      </c>
      <c r="H13" s="3" t="s">
        <v>18</v>
      </c>
      <c r="I13" s="3" t="s">
        <v>19</v>
      </c>
      <c r="J13" s="6" t="s">
        <v>20</v>
      </c>
      <c r="K13" s="7" t="n">
        <v>1</v>
      </c>
      <c r="L13" s="8" t="n">
        <f aca="false">IF(J13="GANADO",G13-1,-1)</f>
        <v>1.4</v>
      </c>
      <c r="M13" s="9" t="n">
        <f aca="false">M12+L13</f>
        <v>2</v>
      </c>
    </row>
    <row r="14" customFormat="false" ht="15" hidden="false" customHeight="true" outlineLevel="0" collapsed="false">
      <c r="A14" s="3" t="n">
        <v>110</v>
      </c>
      <c r="B14" s="3" t="s">
        <v>40</v>
      </c>
      <c r="C14" s="4" t="s">
        <v>53</v>
      </c>
      <c r="D14" s="4" t="s">
        <v>54</v>
      </c>
      <c r="E14" s="4" t="s">
        <v>55</v>
      </c>
      <c r="F14" s="3" t="s">
        <v>56</v>
      </c>
      <c r="G14" s="5" t="n">
        <v>2.45</v>
      </c>
      <c r="H14" s="3" t="s">
        <v>18</v>
      </c>
      <c r="I14" s="3" t="s">
        <v>19</v>
      </c>
      <c r="J14" s="6" t="s">
        <v>20</v>
      </c>
      <c r="K14" s="7" t="n">
        <v>1</v>
      </c>
      <c r="L14" s="8" t="n">
        <f aca="false">IF(J14="GANADO",G14-1,-1)</f>
        <v>1.45</v>
      </c>
      <c r="M14" s="9" t="n">
        <f aca="false">M13+L14</f>
        <v>3.45</v>
      </c>
    </row>
    <row r="15" customFormat="false" ht="15" hidden="false" customHeight="true" outlineLevel="0" collapsed="false">
      <c r="A15" s="3" t="n">
        <v>120</v>
      </c>
      <c r="B15" s="3" t="s">
        <v>57</v>
      </c>
      <c r="C15" s="4" t="s">
        <v>44</v>
      </c>
      <c r="D15" s="4" t="s">
        <v>58</v>
      </c>
      <c r="E15" s="4" t="s">
        <v>59</v>
      </c>
      <c r="F15" s="3" t="s">
        <v>17</v>
      </c>
      <c r="G15" s="5" t="n">
        <v>1.67</v>
      </c>
      <c r="H15" s="3" t="s">
        <v>18</v>
      </c>
      <c r="I15" s="3" t="s">
        <v>19</v>
      </c>
      <c r="J15" s="6" t="s">
        <v>20</v>
      </c>
      <c r="K15" s="7" t="n">
        <v>1</v>
      </c>
      <c r="L15" s="8" t="n">
        <f aca="false">IF(J15="GANADO",G15-1,-1)</f>
        <v>0.67</v>
      </c>
      <c r="M15" s="9" t="n">
        <f aca="false">M14+L15</f>
        <v>4.12</v>
      </c>
    </row>
    <row r="16" customFormat="false" ht="15" hidden="false" customHeight="true" outlineLevel="0" collapsed="false">
      <c r="A16" s="3" t="n">
        <v>121</v>
      </c>
      <c r="B16" s="3" t="s">
        <v>57</v>
      </c>
      <c r="C16" s="4" t="s">
        <v>60</v>
      </c>
      <c r="D16" s="4" t="s">
        <v>61</v>
      </c>
      <c r="E16" s="4" t="s">
        <v>62</v>
      </c>
      <c r="F16" s="3" t="s">
        <v>17</v>
      </c>
      <c r="G16" s="5" t="n">
        <v>1.8</v>
      </c>
      <c r="H16" s="3" t="s">
        <v>18</v>
      </c>
      <c r="I16" s="3" t="s">
        <v>19</v>
      </c>
      <c r="J16" s="6" t="s">
        <v>20</v>
      </c>
      <c r="K16" s="7" t="n">
        <v>1</v>
      </c>
      <c r="L16" s="8" t="n">
        <f aca="false">IF(J16="GANADO",G16-1,-1)</f>
        <v>0.8</v>
      </c>
      <c r="M16" s="9" t="n">
        <f aca="false">M15+L16</f>
        <v>4.92</v>
      </c>
    </row>
    <row r="17" customFormat="false" ht="15" hidden="false" customHeight="true" outlineLevel="0" collapsed="false">
      <c r="A17" s="3" t="n">
        <v>122</v>
      </c>
      <c r="B17" s="3" t="s">
        <v>57</v>
      </c>
      <c r="C17" s="4" t="s">
        <v>63</v>
      </c>
      <c r="D17" s="4" t="s">
        <v>64</v>
      </c>
      <c r="E17" s="4" t="s">
        <v>65</v>
      </c>
      <c r="F17" s="3" t="s">
        <v>17</v>
      </c>
      <c r="G17" s="5" t="n">
        <v>1.95</v>
      </c>
      <c r="H17" s="3" t="s">
        <v>18</v>
      </c>
      <c r="I17" s="3" t="s">
        <v>19</v>
      </c>
      <c r="J17" s="6" t="s">
        <v>20</v>
      </c>
      <c r="K17" s="7" t="n">
        <v>1</v>
      </c>
      <c r="L17" s="8" t="n">
        <f aca="false">IF(J17="GANADO",G17-1,-1)</f>
        <v>0.95</v>
      </c>
      <c r="M17" s="9" t="n">
        <f aca="false">M16+L17</f>
        <v>5.87</v>
      </c>
    </row>
    <row r="18" customFormat="false" ht="15" hidden="false" customHeight="true" outlineLevel="0" collapsed="false">
      <c r="A18" s="3" t="n">
        <v>123</v>
      </c>
      <c r="B18" s="3" t="s">
        <v>57</v>
      </c>
      <c r="C18" s="4" t="s">
        <v>66</v>
      </c>
      <c r="D18" s="4" t="s">
        <v>67</v>
      </c>
      <c r="E18" s="4" t="s">
        <v>68</v>
      </c>
      <c r="F18" s="3" t="s">
        <v>17</v>
      </c>
      <c r="G18" s="5" t="n">
        <v>1.57</v>
      </c>
      <c r="H18" s="3" t="s">
        <v>18</v>
      </c>
      <c r="I18" s="3" t="s">
        <v>19</v>
      </c>
      <c r="J18" s="10" t="s">
        <v>33</v>
      </c>
      <c r="K18" s="7" t="n">
        <v>1</v>
      </c>
      <c r="L18" s="8" t="n">
        <f aca="false">IF(J18="GANADO",G18-1,-1)</f>
        <v>-1</v>
      </c>
      <c r="M18" s="9" t="n">
        <f aca="false">M17+L18</f>
        <v>4.87</v>
      </c>
    </row>
    <row r="19" customFormat="false" ht="15" hidden="false" customHeight="true" outlineLevel="0" collapsed="false">
      <c r="A19" s="3" t="n">
        <v>124</v>
      </c>
      <c r="B19" s="3" t="s">
        <v>57</v>
      </c>
      <c r="C19" s="4" t="s">
        <v>69</v>
      </c>
      <c r="D19" s="4" t="s">
        <v>70</v>
      </c>
      <c r="E19" s="4" t="s">
        <v>71</v>
      </c>
      <c r="F19" s="3" t="s">
        <v>17</v>
      </c>
      <c r="G19" s="5" t="n">
        <v>1.6</v>
      </c>
      <c r="H19" s="3" t="s">
        <v>18</v>
      </c>
      <c r="I19" s="3" t="s">
        <v>19</v>
      </c>
      <c r="J19" s="6" t="s">
        <v>20</v>
      </c>
      <c r="K19" s="7" t="n">
        <v>1</v>
      </c>
      <c r="L19" s="8" t="n">
        <f aca="false">IF(J19="GANADO",G19-1,-1)</f>
        <v>0.6</v>
      </c>
      <c r="M19" s="9" t="n">
        <f aca="false">M18+L19</f>
        <v>5.47</v>
      </c>
    </row>
    <row r="20" customFormat="false" ht="15" hidden="false" customHeight="true" outlineLevel="0" collapsed="false">
      <c r="A20" s="3" t="n">
        <v>125</v>
      </c>
      <c r="B20" s="3" t="s">
        <v>57</v>
      </c>
      <c r="C20" s="4" t="s">
        <v>72</v>
      </c>
      <c r="D20" s="4" t="s">
        <v>73</v>
      </c>
      <c r="E20" s="4" t="s">
        <v>74</v>
      </c>
      <c r="F20" s="3" t="s">
        <v>17</v>
      </c>
      <c r="G20" s="5" t="n">
        <v>2.25</v>
      </c>
      <c r="H20" s="3" t="s">
        <v>18</v>
      </c>
      <c r="I20" s="3" t="s">
        <v>19</v>
      </c>
      <c r="J20" s="6" t="s">
        <v>20</v>
      </c>
      <c r="K20" s="7" t="n">
        <v>1</v>
      </c>
      <c r="L20" s="8" t="n">
        <f aca="false">IF(J20="GANADO",G20-1,-1)</f>
        <v>1.25</v>
      </c>
      <c r="M20" s="9" t="n">
        <f aca="false">M19+L20</f>
        <v>6.72</v>
      </c>
    </row>
    <row r="21" customFormat="false" ht="15" hidden="false" customHeight="true" outlineLevel="0" collapsed="false">
      <c r="A21" s="3" t="n">
        <v>127</v>
      </c>
      <c r="B21" s="3" t="s">
        <v>57</v>
      </c>
      <c r="C21" s="4" t="s">
        <v>75</v>
      </c>
      <c r="D21" s="4" t="s">
        <v>76</v>
      </c>
      <c r="E21" s="4" t="s">
        <v>77</v>
      </c>
      <c r="F21" s="3" t="s">
        <v>17</v>
      </c>
      <c r="G21" s="5" t="n">
        <v>2.1</v>
      </c>
      <c r="H21" s="3" t="s">
        <v>18</v>
      </c>
      <c r="I21" s="3" t="s">
        <v>18</v>
      </c>
      <c r="J21" s="10" t="s">
        <v>33</v>
      </c>
      <c r="K21" s="7" t="n">
        <v>1</v>
      </c>
      <c r="L21" s="8" t="n">
        <f aca="false">IF(J21="GANADO",G21-1,-1)</f>
        <v>-1</v>
      </c>
      <c r="M21" s="9" t="n">
        <f aca="false">M20+L21</f>
        <v>5.72</v>
      </c>
    </row>
    <row r="22" customFormat="false" ht="15" hidden="false" customHeight="true" outlineLevel="0" collapsed="false">
      <c r="A22" s="3" t="n">
        <v>136</v>
      </c>
      <c r="B22" s="3" t="s">
        <v>57</v>
      </c>
      <c r="C22" s="4" t="s">
        <v>78</v>
      </c>
      <c r="D22" s="4" t="s">
        <v>79</v>
      </c>
      <c r="E22" s="4" t="s">
        <v>79</v>
      </c>
      <c r="F22" s="3" t="s">
        <v>56</v>
      </c>
      <c r="G22" s="5" t="n">
        <v>2</v>
      </c>
      <c r="H22" s="3" t="s">
        <v>19</v>
      </c>
      <c r="I22" s="3" t="s">
        <v>19</v>
      </c>
      <c r="J22" s="6" t="s">
        <v>20</v>
      </c>
      <c r="K22" s="7" t="n">
        <v>1</v>
      </c>
      <c r="L22" s="8" t="n">
        <f aca="false">IF(J22="GANADO",G22-1,-1)</f>
        <v>1</v>
      </c>
      <c r="M22" s="9" t="n">
        <f aca="false">M21+L22</f>
        <v>6.72</v>
      </c>
    </row>
    <row r="23" customFormat="false" ht="15" hidden="false" customHeight="true" outlineLevel="0" collapsed="false">
      <c r="A23" s="3" t="n">
        <v>138</v>
      </c>
      <c r="B23" s="3" t="s">
        <v>57</v>
      </c>
      <c r="C23" s="4" t="s">
        <v>80</v>
      </c>
      <c r="D23" s="4" t="s">
        <v>81</v>
      </c>
      <c r="E23" s="4" t="s">
        <v>81</v>
      </c>
      <c r="F23" s="3" t="s">
        <v>17</v>
      </c>
      <c r="G23" s="5" t="n">
        <v>2</v>
      </c>
      <c r="H23" s="3" t="s">
        <v>19</v>
      </c>
      <c r="I23" s="3" t="s">
        <v>19</v>
      </c>
      <c r="J23" s="6" t="s">
        <v>20</v>
      </c>
      <c r="K23" s="7" t="n">
        <v>1</v>
      </c>
      <c r="L23" s="8" t="n">
        <f aca="false">IF(J23="GANADO",G23-1,-1)</f>
        <v>1</v>
      </c>
      <c r="M23" s="9" t="n">
        <f aca="false">M22+L23</f>
        <v>7.72</v>
      </c>
    </row>
    <row r="24" customFormat="false" ht="15" hidden="false" customHeight="true" outlineLevel="0" collapsed="false">
      <c r="A24" s="3" t="n">
        <v>144</v>
      </c>
      <c r="B24" s="3" t="s">
        <v>82</v>
      </c>
      <c r="C24" s="4" t="s">
        <v>50</v>
      </c>
      <c r="D24" s="4" t="s">
        <v>73</v>
      </c>
      <c r="E24" s="4" t="s">
        <v>74</v>
      </c>
      <c r="F24" s="3" t="s">
        <v>17</v>
      </c>
      <c r="G24" s="5" t="n">
        <v>2.2</v>
      </c>
      <c r="H24" s="3" t="s">
        <v>18</v>
      </c>
      <c r="I24" s="3" t="s">
        <v>18</v>
      </c>
      <c r="J24" s="10" t="s">
        <v>33</v>
      </c>
      <c r="K24" s="7" t="n">
        <v>1</v>
      </c>
      <c r="L24" s="8" t="n">
        <f aca="false">IF(J24="GANADO",G24-1,-1)</f>
        <v>-1</v>
      </c>
      <c r="M24" s="9" t="n">
        <f aca="false">M23+L24</f>
        <v>6.72</v>
      </c>
    </row>
    <row r="25" customFormat="false" ht="15" hidden="false" customHeight="true" outlineLevel="0" collapsed="false">
      <c r="A25" s="3" t="n">
        <v>145</v>
      </c>
      <c r="B25" s="3" t="s">
        <v>82</v>
      </c>
      <c r="C25" s="4" t="s">
        <v>83</v>
      </c>
      <c r="D25" s="4" t="s">
        <v>84</v>
      </c>
      <c r="E25" s="4" t="s">
        <v>85</v>
      </c>
      <c r="F25" s="3" t="s">
        <v>17</v>
      </c>
      <c r="G25" s="5" t="n">
        <v>1.9</v>
      </c>
      <c r="H25" s="3" t="s">
        <v>18</v>
      </c>
      <c r="I25" s="3" t="s">
        <v>18</v>
      </c>
      <c r="J25" s="6" t="s">
        <v>20</v>
      </c>
      <c r="K25" s="7" t="n">
        <v>1</v>
      </c>
      <c r="L25" s="8" t="n">
        <f aca="false">IF(J25="GANADO",G25-1,-1)</f>
        <v>0.9</v>
      </c>
      <c r="M25" s="9" t="n">
        <f aca="false">M24+L25</f>
        <v>7.62</v>
      </c>
    </row>
    <row r="26" customFormat="false" ht="15" hidden="false" customHeight="true" outlineLevel="0" collapsed="false">
      <c r="A26" s="3" t="n">
        <v>146</v>
      </c>
      <c r="B26" s="3" t="s">
        <v>82</v>
      </c>
      <c r="C26" s="4" t="s">
        <v>86</v>
      </c>
      <c r="D26" s="4" t="s">
        <v>76</v>
      </c>
      <c r="E26" s="4" t="s">
        <v>77</v>
      </c>
      <c r="F26" s="3" t="s">
        <v>17</v>
      </c>
      <c r="G26" s="5" t="n">
        <v>1.83</v>
      </c>
      <c r="H26" s="3" t="s">
        <v>19</v>
      </c>
      <c r="I26" s="3" t="s">
        <v>19</v>
      </c>
      <c r="J26" s="6" t="s">
        <v>20</v>
      </c>
      <c r="K26" s="7" t="n">
        <v>1</v>
      </c>
      <c r="L26" s="8" t="n">
        <f aca="false">IF(J26="GANADO",G26-1,-1)</f>
        <v>0.83</v>
      </c>
      <c r="M26" s="9" t="n">
        <f aca="false">M25+L26</f>
        <v>8.45</v>
      </c>
    </row>
    <row r="27" customFormat="false" ht="15" hidden="false" customHeight="true" outlineLevel="0" collapsed="false">
      <c r="A27" s="3" t="n">
        <v>152</v>
      </c>
      <c r="B27" s="3" t="s">
        <v>82</v>
      </c>
      <c r="C27" s="4" t="s">
        <v>87</v>
      </c>
      <c r="D27" s="4" t="s">
        <v>28</v>
      </c>
      <c r="E27" s="4" t="s">
        <v>29</v>
      </c>
      <c r="F27" s="3" t="s">
        <v>17</v>
      </c>
      <c r="G27" s="5" t="n">
        <v>1.76</v>
      </c>
      <c r="H27" s="3" t="s">
        <v>19</v>
      </c>
      <c r="I27" s="3" t="s">
        <v>18</v>
      </c>
      <c r="J27" s="6" t="s">
        <v>20</v>
      </c>
      <c r="K27" s="7" t="n">
        <v>1</v>
      </c>
      <c r="L27" s="8" t="n">
        <f aca="false">IF(J27="GANADO",G27-1,-1)</f>
        <v>0.76</v>
      </c>
      <c r="M27" s="9" t="n">
        <f aca="false">M26+L27</f>
        <v>9.21</v>
      </c>
    </row>
    <row r="28" customFormat="false" ht="15" hidden="false" customHeight="true" outlineLevel="0" collapsed="false">
      <c r="A28" s="3" t="n">
        <v>161</v>
      </c>
      <c r="B28" s="3" t="s">
        <v>88</v>
      </c>
      <c r="C28" s="4" t="s">
        <v>86</v>
      </c>
      <c r="D28" s="4" t="s">
        <v>76</v>
      </c>
      <c r="E28" s="4" t="s">
        <v>77</v>
      </c>
      <c r="F28" s="3" t="s">
        <v>17</v>
      </c>
      <c r="G28" s="5" t="n">
        <v>1.85</v>
      </c>
      <c r="H28" s="3" t="s">
        <v>18</v>
      </c>
      <c r="I28" s="3" t="s">
        <v>18</v>
      </c>
      <c r="J28" s="6" t="s">
        <v>20</v>
      </c>
      <c r="K28" s="7" t="n">
        <v>1</v>
      </c>
      <c r="L28" s="8" t="n">
        <f aca="false">IF(J28="GANADO",G28-1,-1)</f>
        <v>0.85</v>
      </c>
      <c r="M28" s="9" t="n">
        <f aca="false">M27+L28</f>
        <v>10.06</v>
      </c>
    </row>
    <row r="29" customFormat="false" ht="15" hidden="false" customHeight="true" outlineLevel="0" collapsed="false">
      <c r="A29" s="3" t="n">
        <v>162</v>
      </c>
      <c r="B29" s="3" t="s">
        <v>88</v>
      </c>
      <c r="C29" s="4" t="s">
        <v>89</v>
      </c>
      <c r="D29" s="4" t="s">
        <v>15</v>
      </c>
      <c r="E29" s="4" t="s">
        <v>16</v>
      </c>
      <c r="F29" s="3" t="s">
        <v>17</v>
      </c>
      <c r="G29" s="5" t="n">
        <v>1.65</v>
      </c>
      <c r="H29" s="3" t="s">
        <v>19</v>
      </c>
      <c r="I29" s="3" t="s">
        <v>19</v>
      </c>
      <c r="J29" s="6" t="s">
        <v>20</v>
      </c>
      <c r="K29" s="7" t="n">
        <v>1</v>
      </c>
      <c r="L29" s="8" t="n">
        <f aca="false">IF(J29="GANADO",G29-1,-1)</f>
        <v>0.65</v>
      </c>
      <c r="M29" s="9" t="n">
        <f aca="false">M28+L29</f>
        <v>10.71</v>
      </c>
    </row>
    <row r="30" customFormat="false" ht="15" hidden="false" customHeight="true" outlineLevel="0" collapsed="false">
      <c r="A30" s="3" t="n">
        <v>163</v>
      </c>
      <c r="B30" s="3" t="s">
        <v>88</v>
      </c>
      <c r="C30" s="4" t="s">
        <v>90</v>
      </c>
      <c r="D30" s="4" t="s">
        <v>91</v>
      </c>
      <c r="E30" s="4" t="s">
        <v>91</v>
      </c>
      <c r="F30" s="3" t="s">
        <v>46</v>
      </c>
      <c r="G30" s="5" t="n">
        <v>1.9</v>
      </c>
      <c r="H30" s="3" t="s">
        <v>19</v>
      </c>
      <c r="I30" s="3" t="s">
        <v>19</v>
      </c>
      <c r="J30" s="6" t="s">
        <v>20</v>
      </c>
      <c r="K30" s="7" t="n">
        <v>1</v>
      </c>
      <c r="L30" s="8" t="n">
        <f aca="false">IF(J30="GANADO",G30-1,-1)</f>
        <v>0.9</v>
      </c>
      <c r="M30" s="9" t="n">
        <f aca="false">M29+L30</f>
        <v>11.61</v>
      </c>
    </row>
    <row r="31" customFormat="false" ht="15" hidden="false" customHeight="true" outlineLevel="0" collapsed="false">
      <c r="A31" s="3" t="n">
        <v>165</v>
      </c>
      <c r="B31" s="3" t="s">
        <v>88</v>
      </c>
      <c r="C31" s="4" t="s">
        <v>83</v>
      </c>
      <c r="D31" s="4" t="s">
        <v>92</v>
      </c>
      <c r="E31" s="4" t="s">
        <v>93</v>
      </c>
      <c r="F31" s="3" t="s">
        <v>17</v>
      </c>
      <c r="G31" s="5" t="n">
        <v>2.45</v>
      </c>
      <c r="H31" s="3" t="s">
        <v>19</v>
      </c>
      <c r="I31" s="3" t="s">
        <v>19</v>
      </c>
      <c r="J31" s="6" t="s">
        <v>20</v>
      </c>
      <c r="K31" s="7" t="n">
        <v>1</v>
      </c>
      <c r="L31" s="8" t="n">
        <f aca="false">IF(J31="GANADO",G31-1,-1)</f>
        <v>1.45</v>
      </c>
      <c r="M31" s="9" t="n">
        <f aca="false">M30+L31</f>
        <v>13.06</v>
      </c>
    </row>
    <row r="32" customFormat="false" ht="15" hidden="false" customHeight="true" outlineLevel="0" collapsed="false">
      <c r="A32" s="3" t="n">
        <v>172</v>
      </c>
      <c r="B32" s="3" t="s">
        <v>88</v>
      </c>
      <c r="C32" s="4" t="s">
        <v>94</v>
      </c>
      <c r="D32" s="4" t="s">
        <v>55</v>
      </c>
      <c r="E32" s="4" t="s">
        <v>55</v>
      </c>
      <c r="F32" s="3" t="s">
        <v>56</v>
      </c>
      <c r="G32" s="5" t="n">
        <v>2.1</v>
      </c>
      <c r="H32" s="3" t="s">
        <v>18</v>
      </c>
      <c r="I32" s="3" t="s">
        <v>19</v>
      </c>
      <c r="J32" s="10" t="s">
        <v>33</v>
      </c>
      <c r="K32" s="7" t="n">
        <v>1</v>
      </c>
      <c r="L32" s="8" t="n">
        <f aca="false">IF(J32="GANADO",G32-1,-1)</f>
        <v>-1</v>
      </c>
      <c r="M32" s="9" t="n">
        <f aca="false">M31+L32</f>
        <v>12.06</v>
      </c>
    </row>
    <row r="33" customFormat="false" ht="15" hidden="false" customHeight="true" outlineLevel="0" collapsed="false">
      <c r="A33" s="3" t="n">
        <v>173</v>
      </c>
      <c r="B33" s="3" t="s">
        <v>88</v>
      </c>
      <c r="C33" s="4" t="s">
        <v>95</v>
      </c>
      <c r="D33" s="4" t="s">
        <v>26</v>
      </c>
      <c r="E33" s="4" t="s">
        <v>26</v>
      </c>
      <c r="F33" s="3" t="s">
        <v>17</v>
      </c>
      <c r="G33" s="5" t="n">
        <v>1.8</v>
      </c>
      <c r="H33" s="3" t="s">
        <v>19</v>
      </c>
      <c r="I33" s="3" t="s">
        <v>18</v>
      </c>
      <c r="J33" s="10" t="s">
        <v>33</v>
      </c>
      <c r="K33" s="7" t="n">
        <v>1</v>
      </c>
      <c r="L33" s="8" t="n">
        <f aca="false">IF(J33="GANADO",G33-1,-1)</f>
        <v>-1</v>
      </c>
      <c r="M33" s="9" t="n">
        <f aca="false">M32+L33</f>
        <v>11.06</v>
      </c>
    </row>
    <row r="34" customFormat="false" ht="15" hidden="false" customHeight="true" outlineLevel="0" collapsed="false">
      <c r="A34" s="3" t="n">
        <v>174</v>
      </c>
      <c r="B34" s="3" t="s">
        <v>88</v>
      </c>
      <c r="C34" s="4" t="s">
        <v>87</v>
      </c>
      <c r="D34" s="4" t="s">
        <v>96</v>
      </c>
      <c r="E34" s="4" t="s">
        <v>97</v>
      </c>
      <c r="F34" s="3" t="s">
        <v>17</v>
      </c>
      <c r="G34" s="5" t="n">
        <v>2.1</v>
      </c>
      <c r="H34" s="3" t="s">
        <v>19</v>
      </c>
      <c r="I34" s="3" t="s">
        <v>18</v>
      </c>
      <c r="J34" s="10" t="s">
        <v>33</v>
      </c>
      <c r="K34" s="7" t="n">
        <v>1</v>
      </c>
      <c r="L34" s="8" t="n">
        <f aca="false">IF(J34="GANADO",G34-1,-1)</f>
        <v>-1</v>
      </c>
      <c r="M34" s="9" t="n">
        <f aca="false">M33+L34</f>
        <v>10.06</v>
      </c>
    </row>
    <row r="35" customFormat="false" ht="15" hidden="false" customHeight="true" outlineLevel="0" collapsed="false">
      <c r="A35" s="3" t="n">
        <v>180</v>
      </c>
      <c r="B35" s="3" t="s">
        <v>98</v>
      </c>
      <c r="C35" s="4" t="s">
        <v>99</v>
      </c>
      <c r="D35" s="4" t="s">
        <v>100</v>
      </c>
      <c r="E35" s="4" t="s">
        <v>100</v>
      </c>
      <c r="F35" s="3" t="s">
        <v>46</v>
      </c>
      <c r="G35" s="5" t="n">
        <v>1.71</v>
      </c>
      <c r="H35" s="3" t="s">
        <v>19</v>
      </c>
      <c r="I35" s="3" t="s">
        <v>19</v>
      </c>
      <c r="J35" s="6" t="s">
        <v>20</v>
      </c>
      <c r="K35" s="7" t="n">
        <v>1</v>
      </c>
      <c r="L35" s="8" t="n">
        <f aca="false">IF(J35="GANADO",G35-1,-1)</f>
        <v>0.71</v>
      </c>
      <c r="M35" s="9" t="n">
        <f aca="false">M34+L35</f>
        <v>10.77</v>
      </c>
    </row>
    <row r="36" customFormat="false" ht="15" hidden="false" customHeight="true" outlineLevel="0" collapsed="false">
      <c r="A36" s="3" t="n">
        <v>181</v>
      </c>
      <c r="B36" s="3" t="s">
        <v>98</v>
      </c>
      <c r="C36" s="4" t="s">
        <v>101</v>
      </c>
      <c r="D36" s="4" t="s">
        <v>102</v>
      </c>
      <c r="E36" s="4" t="s">
        <v>103</v>
      </c>
      <c r="F36" s="3" t="s">
        <v>17</v>
      </c>
      <c r="G36" s="5" t="n">
        <v>1.9</v>
      </c>
      <c r="H36" s="3" t="s">
        <v>18</v>
      </c>
      <c r="I36" s="3" t="s">
        <v>19</v>
      </c>
      <c r="J36" s="6" t="s">
        <v>20</v>
      </c>
      <c r="K36" s="7" t="n">
        <v>1</v>
      </c>
      <c r="L36" s="8" t="n">
        <f aca="false">IF(J36="GANADO",G36-1,-1)</f>
        <v>0.9</v>
      </c>
      <c r="M36" s="9" t="n">
        <f aca="false">M35+L36</f>
        <v>11.67</v>
      </c>
    </row>
    <row r="37" customFormat="false" ht="15" hidden="false" customHeight="true" outlineLevel="0" collapsed="false">
      <c r="A37" s="3" t="n">
        <v>183</v>
      </c>
      <c r="B37" s="3" t="s">
        <v>98</v>
      </c>
      <c r="C37" s="4" t="s">
        <v>95</v>
      </c>
      <c r="D37" s="4" t="s">
        <v>73</v>
      </c>
      <c r="E37" s="4" t="s">
        <v>74</v>
      </c>
      <c r="F37" s="3" t="s">
        <v>17</v>
      </c>
      <c r="G37" s="5" t="n">
        <v>2.05</v>
      </c>
      <c r="H37" s="3" t="s">
        <v>18</v>
      </c>
      <c r="I37" s="3" t="s">
        <v>18</v>
      </c>
      <c r="J37" s="6" t="s">
        <v>20</v>
      </c>
      <c r="K37" s="7" t="n">
        <v>1</v>
      </c>
      <c r="L37" s="8" t="n">
        <f aca="false">IF(J37="GANADO",G37-1,-1)</f>
        <v>1.05</v>
      </c>
      <c r="M37" s="9" t="n">
        <f aca="false">M36+L37</f>
        <v>12.72</v>
      </c>
    </row>
    <row r="38" customFormat="false" ht="15" hidden="false" customHeight="true" outlineLevel="0" collapsed="false">
      <c r="A38" s="3" t="n">
        <v>184</v>
      </c>
      <c r="B38" s="3" t="s">
        <v>98</v>
      </c>
      <c r="C38" s="4" t="s">
        <v>104</v>
      </c>
      <c r="D38" s="4" t="s">
        <v>105</v>
      </c>
      <c r="E38" s="4" t="s">
        <v>105</v>
      </c>
      <c r="F38" s="3" t="s">
        <v>46</v>
      </c>
      <c r="G38" s="5" t="n">
        <v>1.71</v>
      </c>
      <c r="H38" s="3" t="s">
        <v>18</v>
      </c>
      <c r="I38" s="3" t="s">
        <v>18</v>
      </c>
      <c r="J38" s="6" t="s">
        <v>20</v>
      </c>
      <c r="K38" s="7" t="n">
        <v>1</v>
      </c>
      <c r="L38" s="8" t="n">
        <f aca="false">IF(J38="GANADO",G38-1,-1)</f>
        <v>0.71</v>
      </c>
      <c r="M38" s="9" t="n">
        <f aca="false">M37+L38</f>
        <v>13.43</v>
      </c>
    </row>
    <row r="39" customFormat="false" ht="15" hidden="false" customHeight="true" outlineLevel="0" collapsed="false">
      <c r="A39" s="3" t="n">
        <v>189</v>
      </c>
      <c r="B39" s="3" t="s">
        <v>98</v>
      </c>
      <c r="C39" s="4" t="s">
        <v>106</v>
      </c>
      <c r="D39" s="4" t="s">
        <v>107</v>
      </c>
      <c r="E39" s="4" t="s">
        <v>108</v>
      </c>
      <c r="F39" s="3" t="s">
        <v>17</v>
      </c>
      <c r="G39" s="5" t="n">
        <v>2</v>
      </c>
      <c r="H39" s="3" t="s">
        <v>19</v>
      </c>
      <c r="I39" s="3" t="s">
        <v>18</v>
      </c>
      <c r="J39" s="6" t="s">
        <v>20</v>
      </c>
      <c r="K39" s="7" t="n">
        <v>1</v>
      </c>
      <c r="L39" s="8" t="n">
        <f aca="false">IF(J39="GANADO",G39-1,-1)</f>
        <v>1</v>
      </c>
      <c r="M39" s="9" t="n">
        <f aca="false">M38+L39</f>
        <v>14.43</v>
      </c>
    </row>
    <row r="40" customFormat="false" ht="15" hidden="false" customHeight="true" outlineLevel="0" collapsed="false">
      <c r="A40" s="3" t="n">
        <v>199</v>
      </c>
      <c r="B40" s="3" t="s">
        <v>109</v>
      </c>
      <c r="C40" s="4" t="s">
        <v>101</v>
      </c>
      <c r="D40" s="4" t="s">
        <v>102</v>
      </c>
      <c r="E40" s="4" t="s">
        <v>103</v>
      </c>
      <c r="F40" s="3" t="s">
        <v>17</v>
      </c>
      <c r="G40" s="5" t="n">
        <v>2.25</v>
      </c>
      <c r="H40" s="3" t="s">
        <v>18</v>
      </c>
      <c r="I40" s="3" t="s">
        <v>19</v>
      </c>
      <c r="J40" s="10" t="s">
        <v>33</v>
      </c>
      <c r="K40" s="7" t="n">
        <v>1</v>
      </c>
      <c r="L40" s="8" t="n">
        <f aca="false">IF(J40="GANADO",G40-1,-1)</f>
        <v>-1</v>
      </c>
      <c r="M40" s="9" t="n">
        <f aca="false">M39+L40</f>
        <v>13.43</v>
      </c>
    </row>
    <row r="41" customFormat="false" ht="15" hidden="false" customHeight="true" outlineLevel="0" collapsed="false">
      <c r="A41" s="3" t="n">
        <v>201</v>
      </c>
      <c r="B41" s="3" t="s">
        <v>109</v>
      </c>
      <c r="C41" s="4" t="s">
        <v>110</v>
      </c>
      <c r="D41" s="4" t="s">
        <v>31</v>
      </c>
      <c r="E41" s="4" t="s">
        <v>32</v>
      </c>
      <c r="F41" s="3" t="s">
        <v>17</v>
      </c>
      <c r="G41" s="5" t="n">
        <v>2.5</v>
      </c>
      <c r="H41" s="3" t="s">
        <v>18</v>
      </c>
      <c r="I41" s="3" t="s">
        <v>19</v>
      </c>
      <c r="J41" s="6" t="s">
        <v>20</v>
      </c>
      <c r="K41" s="7" t="n">
        <v>1</v>
      </c>
      <c r="L41" s="8" t="n">
        <f aca="false">IF(J41="GANADO",G41-1,-1)</f>
        <v>1.5</v>
      </c>
      <c r="M41" s="9" t="n">
        <f aca="false">M40+L41</f>
        <v>14.93</v>
      </c>
    </row>
    <row r="42" customFormat="false" ht="15" hidden="false" customHeight="true" outlineLevel="0" collapsed="false">
      <c r="A42" s="3" t="n">
        <v>202</v>
      </c>
      <c r="B42" s="3" t="s">
        <v>109</v>
      </c>
      <c r="C42" s="4" t="s">
        <v>111</v>
      </c>
      <c r="D42" s="4" t="s">
        <v>112</v>
      </c>
      <c r="E42" s="4" t="s">
        <v>113</v>
      </c>
      <c r="F42" s="3" t="s">
        <v>17</v>
      </c>
      <c r="G42" s="5" t="n">
        <v>1.85</v>
      </c>
      <c r="H42" s="3" t="s">
        <v>18</v>
      </c>
      <c r="I42" s="3" t="s">
        <v>19</v>
      </c>
      <c r="J42" s="6" t="s">
        <v>20</v>
      </c>
      <c r="K42" s="7" t="n">
        <v>1</v>
      </c>
      <c r="L42" s="8" t="n">
        <f aca="false">IF(J42="GANADO",G42-1,-1)</f>
        <v>0.85</v>
      </c>
      <c r="M42" s="9" t="n">
        <f aca="false">M41+L42</f>
        <v>15.78</v>
      </c>
    </row>
    <row r="43" customFormat="false" ht="15" hidden="false" customHeight="true" outlineLevel="0" collapsed="false">
      <c r="A43" s="3" t="n">
        <v>203</v>
      </c>
      <c r="B43" s="3" t="s">
        <v>109</v>
      </c>
      <c r="C43" s="4" t="s">
        <v>114</v>
      </c>
      <c r="D43" s="4" t="s">
        <v>115</v>
      </c>
      <c r="E43" s="4" t="s">
        <v>116</v>
      </c>
      <c r="F43" s="3" t="s">
        <v>17</v>
      </c>
      <c r="G43" s="5" t="n">
        <v>1.8</v>
      </c>
      <c r="H43" s="3" t="s">
        <v>18</v>
      </c>
      <c r="I43" s="3" t="s">
        <v>19</v>
      </c>
      <c r="J43" s="10" t="s">
        <v>33</v>
      </c>
      <c r="K43" s="7" t="n">
        <v>1</v>
      </c>
      <c r="L43" s="8" t="n">
        <f aca="false">IF(J43="GANADO",G43-1,-1)</f>
        <v>-1</v>
      </c>
      <c r="M43" s="9" t="n">
        <f aca="false">M42+L43</f>
        <v>14.78</v>
      </c>
    </row>
    <row r="44" customFormat="false" ht="15" hidden="false" customHeight="true" outlineLevel="0" collapsed="false">
      <c r="A44" s="3" t="n">
        <v>204</v>
      </c>
      <c r="B44" s="3" t="s">
        <v>109</v>
      </c>
      <c r="C44" s="4" t="s">
        <v>117</v>
      </c>
      <c r="D44" s="4" t="s">
        <v>118</v>
      </c>
      <c r="E44" s="4" t="s">
        <v>118</v>
      </c>
      <c r="F44" s="3" t="s">
        <v>46</v>
      </c>
      <c r="G44" s="5" t="n">
        <v>2</v>
      </c>
      <c r="H44" s="3" t="s">
        <v>18</v>
      </c>
      <c r="I44" s="3" t="s">
        <v>19</v>
      </c>
      <c r="J44" s="6" t="s">
        <v>20</v>
      </c>
      <c r="K44" s="7" t="n">
        <v>1</v>
      </c>
      <c r="L44" s="8" t="n">
        <f aca="false">IF(J44="GANADO",G44-1,-1)</f>
        <v>1</v>
      </c>
      <c r="M44" s="9" t="n">
        <f aca="false">M43+L44</f>
        <v>15.78</v>
      </c>
    </row>
    <row r="45" customFormat="false" ht="15" hidden="false" customHeight="true" outlineLevel="0" collapsed="false">
      <c r="A45" s="3" t="n">
        <v>206</v>
      </c>
      <c r="B45" s="3" t="s">
        <v>109</v>
      </c>
      <c r="C45" s="4" t="s">
        <v>119</v>
      </c>
      <c r="D45" s="4" t="s">
        <v>28</v>
      </c>
      <c r="E45" s="4" t="s">
        <v>29</v>
      </c>
      <c r="F45" s="3" t="s">
        <v>17</v>
      </c>
      <c r="G45" s="5" t="n">
        <v>2.35</v>
      </c>
      <c r="H45" s="3" t="s">
        <v>19</v>
      </c>
      <c r="I45" s="3" t="s">
        <v>19</v>
      </c>
      <c r="J45" s="6" t="s">
        <v>20</v>
      </c>
      <c r="K45" s="7" t="n">
        <v>1</v>
      </c>
      <c r="L45" s="8" t="n">
        <f aca="false">IF(J45="GANADO",G45-1,-1)</f>
        <v>1.35</v>
      </c>
      <c r="M45" s="9" t="n">
        <f aca="false">M44+L45</f>
        <v>17.13</v>
      </c>
    </row>
    <row r="46" customFormat="false" ht="15" hidden="false" customHeight="true" outlineLevel="0" collapsed="false">
      <c r="A46" s="3" t="n">
        <v>215</v>
      </c>
      <c r="B46" s="3" t="s">
        <v>120</v>
      </c>
      <c r="C46" s="4" t="s">
        <v>117</v>
      </c>
      <c r="D46" s="4" t="s">
        <v>22</v>
      </c>
      <c r="E46" s="4" t="s">
        <v>23</v>
      </c>
      <c r="F46" s="3" t="s">
        <v>17</v>
      </c>
      <c r="G46" s="5" t="n">
        <v>1.76</v>
      </c>
      <c r="H46" s="3" t="s">
        <v>18</v>
      </c>
      <c r="I46" s="3" t="s">
        <v>19</v>
      </c>
      <c r="J46" s="6" t="s">
        <v>20</v>
      </c>
      <c r="K46" s="7" t="n">
        <v>1</v>
      </c>
      <c r="L46" s="8" t="n">
        <f aca="false">IF(J46="GANADO",G46-1,-1)</f>
        <v>0.76</v>
      </c>
      <c r="M46" s="9" t="n">
        <f aca="false">M45+L46</f>
        <v>17.89</v>
      </c>
    </row>
    <row r="47" customFormat="false" ht="15" hidden="false" customHeight="true" outlineLevel="0" collapsed="false">
      <c r="A47" s="3" t="n">
        <v>216</v>
      </c>
      <c r="B47" s="3" t="s">
        <v>120</v>
      </c>
      <c r="C47" s="4" t="s">
        <v>121</v>
      </c>
      <c r="D47" s="4" t="s">
        <v>122</v>
      </c>
      <c r="E47" s="4" t="s">
        <v>122</v>
      </c>
      <c r="F47" s="3" t="s">
        <v>46</v>
      </c>
      <c r="G47" s="5" t="n">
        <v>1.76</v>
      </c>
      <c r="H47" s="3" t="s">
        <v>18</v>
      </c>
      <c r="I47" s="3" t="s">
        <v>19</v>
      </c>
      <c r="J47" s="6" t="s">
        <v>20</v>
      </c>
      <c r="K47" s="7" t="n">
        <v>1</v>
      </c>
      <c r="L47" s="8" t="n">
        <f aca="false">IF(J47="GANADO",G47-1,-1)</f>
        <v>0.76</v>
      </c>
      <c r="M47" s="9" t="n">
        <f aca="false">M46+L47</f>
        <v>18.65</v>
      </c>
    </row>
    <row r="48" customFormat="false" ht="15" hidden="false" customHeight="true" outlineLevel="0" collapsed="false">
      <c r="A48" s="3" t="n">
        <v>217</v>
      </c>
      <c r="B48" s="3" t="s">
        <v>120</v>
      </c>
      <c r="C48" s="4" t="s">
        <v>123</v>
      </c>
      <c r="D48" s="4" t="s">
        <v>124</v>
      </c>
      <c r="E48" s="4" t="s">
        <v>125</v>
      </c>
      <c r="F48" s="3" t="s">
        <v>17</v>
      </c>
      <c r="G48" s="5" t="n">
        <v>1.95</v>
      </c>
      <c r="H48" s="3" t="s">
        <v>19</v>
      </c>
      <c r="I48" s="3" t="s">
        <v>19</v>
      </c>
      <c r="J48" s="10" t="s">
        <v>33</v>
      </c>
      <c r="K48" s="7" t="n">
        <v>1</v>
      </c>
      <c r="L48" s="8" t="n">
        <f aca="false">IF(J48="GANADO",G48-1,-1)</f>
        <v>-1</v>
      </c>
      <c r="M48" s="9" t="n">
        <f aca="false">M47+L48</f>
        <v>17.65</v>
      </c>
    </row>
    <row r="49" customFormat="false" ht="15" hidden="false" customHeight="true" outlineLevel="0" collapsed="false">
      <c r="A49" s="3" t="n">
        <v>222</v>
      </c>
      <c r="B49" s="3" t="s">
        <v>126</v>
      </c>
      <c r="C49" s="4" t="s">
        <v>127</v>
      </c>
      <c r="D49" s="4" t="s">
        <v>128</v>
      </c>
      <c r="E49" s="4" t="s">
        <v>129</v>
      </c>
      <c r="F49" s="3" t="s">
        <v>17</v>
      </c>
      <c r="G49" s="5" t="n">
        <v>2</v>
      </c>
      <c r="H49" s="3" t="s">
        <v>19</v>
      </c>
      <c r="I49" s="3" t="s">
        <v>19</v>
      </c>
      <c r="J49" s="10" t="s">
        <v>33</v>
      </c>
      <c r="K49" s="7" t="n">
        <v>1</v>
      </c>
      <c r="L49" s="8" t="n">
        <f aca="false">IF(J49="GANADO",G49-1,-1)</f>
        <v>-1</v>
      </c>
      <c r="M49" s="9" t="n">
        <f aca="false">M48+L49</f>
        <v>16.65</v>
      </c>
    </row>
    <row r="50" customFormat="false" ht="15" hidden="false" customHeight="true" outlineLevel="0" collapsed="false">
      <c r="A50" s="3" t="n">
        <v>224</v>
      </c>
      <c r="B50" s="3" t="s">
        <v>126</v>
      </c>
      <c r="C50" s="4" t="s">
        <v>130</v>
      </c>
      <c r="D50" s="4" t="s">
        <v>131</v>
      </c>
      <c r="E50" s="4" t="s">
        <v>131</v>
      </c>
      <c r="F50" s="3" t="s">
        <v>17</v>
      </c>
      <c r="G50" s="5" t="n">
        <v>1.63</v>
      </c>
      <c r="H50" s="3" t="s">
        <v>18</v>
      </c>
      <c r="I50" s="3" t="s">
        <v>19</v>
      </c>
      <c r="J50" s="10" t="s">
        <v>33</v>
      </c>
      <c r="K50" s="7" t="n">
        <v>1</v>
      </c>
      <c r="L50" s="8" t="n">
        <f aca="false">IF(J50="GANADO",G50-1,-1)</f>
        <v>-1</v>
      </c>
      <c r="M50" s="9" t="n">
        <f aca="false">M49+L50</f>
        <v>15.65</v>
      </c>
    </row>
    <row r="51" customFormat="false" ht="15" hidden="false" customHeight="true" outlineLevel="0" collapsed="false">
      <c r="A51" s="3" t="n">
        <v>225</v>
      </c>
      <c r="B51" s="3" t="s">
        <v>126</v>
      </c>
      <c r="C51" s="4" t="s">
        <v>132</v>
      </c>
      <c r="D51" s="4" t="s">
        <v>133</v>
      </c>
      <c r="E51" s="4" t="s">
        <v>134</v>
      </c>
      <c r="F51" s="3" t="s">
        <v>17</v>
      </c>
      <c r="G51" s="5" t="n">
        <v>1.67</v>
      </c>
      <c r="H51" s="3" t="s">
        <v>18</v>
      </c>
      <c r="I51" s="3" t="s">
        <v>19</v>
      </c>
      <c r="J51" s="10" t="s">
        <v>33</v>
      </c>
      <c r="K51" s="7" t="n">
        <v>1</v>
      </c>
      <c r="L51" s="8" t="n">
        <f aca="false">IF(J51="GANADO",G51-1,-1)</f>
        <v>-1</v>
      </c>
      <c r="M51" s="9" t="n">
        <f aca="false">M50+L51</f>
        <v>14.65</v>
      </c>
    </row>
    <row r="52" customFormat="false" ht="15" hidden="false" customHeight="true" outlineLevel="0" collapsed="false">
      <c r="A52" s="3" t="n">
        <v>226</v>
      </c>
      <c r="B52" s="3" t="s">
        <v>126</v>
      </c>
      <c r="C52" s="4" t="s">
        <v>135</v>
      </c>
      <c r="D52" s="4" t="s">
        <v>92</v>
      </c>
      <c r="E52" s="4" t="s">
        <v>93</v>
      </c>
      <c r="F52" s="3" t="s">
        <v>17</v>
      </c>
      <c r="G52" s="5" t="n">
        <v>2.05</v>
      </c>
      <c r="H52" s="3" t="s">
        <v>18</v>
      </c>
      <c r="I52" s="3" t="s">
        <v>19</v>
      </c>
      <c r="J52" s="6" t="s">
        <v>20</v>
      </c>
      <c r="K52" s="7" t="n">
        <v>1</v>
      </c>
      <c r="L52" s="8" t="n">
        <f aca="false">IF(J52="GANADO",G52-1,-1)</f>
        <v>1.05</v>
      </c>
      <c r="M52" s="9" t="n">
        <f aca="false">M51+L52</f>
        <v>15.7</v>
      </c>
    </row>
    <row r="53" customFormat="false" ht="15" hidden="false" customHeight="true" outlineLevel="0" collapsed="false">
      <c r="A53" s="3" t="n">
        <v>227</v>
      </c>
      <c r="B53" s="3" t="s">
        <v>126</v>
      </c>
      <c r="C53" s="4" t="s">
        <v>136</v>
      </c>
      <c r="D53" s="4" t="s">
        <v>115</v>
      </c>
      <c r="E53" s="4" t="s">
        <v>116</v>
      </c>
      <c r="F53" s="3" t="s">
        <v>17</v>
      </c>
      <c r="G53" s="5" t="n">
        <v>1.77</v>
      </c>
      <c r="H53" s="3" t="s">
        <v>18</v>
      </c>
      <c r="I53" s="3" t="s">
        <v>18</v>
      </c>
      <c r="J53" s="10" t="s">
        <v>33</v>
      </c>
      <c r="K53" s="7" t="n">
        <v>1</v>
      </c>
      <c r="L53" s="8" t="n">
        <f aca="false">IF(J53="GANADO",G53-1,-1)</f>
        <v>-1</v>
      </c>
      <c r="M53" s="9" t="n">
        <f aca="false">M52+L53</f>
        <v>14.7</v>
      </c>
    </row>
    <row r="54" customFormat="false" ht="15" hidden="false" customHeight="true" outlineLevel="0" collapsed="false">
      <c r="A54" s="3" t="n">
        <v>228</v>
      </c>
      <c r="B54" s="3" t="s">
        <v>126</v>
      </c>
      <c r="C54" s="4" t="s">
        <v>137</v>
      </c>
      <c r="D54" s="4" t="s">
        <v>138</v>
      </c>
      <c r="E54" s="4" t="s">
        <v>125</v>
      </c>
      <c r="F54" s="3" t="s">
        <v>17</v>
      </c>
      <c r="G54" s="5" t="n">
        <v>2.2</v>
      </c>
      <c r="H54" s="3" t="s">
        <v>18</v>
      </c>
      <c r="I54" s="3" t="s">
        <v>18</v>
      </c>
      <c r="J54" s="6" t="s">
        <v>20</v>
      </c>
      <c r="K54" s="7" t="n">
        <v>1</v>
      </c>
      <c r="L54" s="8" t="n">
        <f aca="false">IF(J54="GANADO",G54-1,-1)</f>
        <v>1.2</v>
      </c>
      <c r="M54" s="9" t="n">
        <f aca="false">M53+L54</f>
        <v>15.9</v>
      </c>
    </row>
    <row r="55" customFormat="false" ht="15" hidden="false" customHeight="true" outlineLevel="0" collapsed="false">
      <c r="A55" s="3" t="n">
        <v>229</v>
      </c>
      <c r="B55" s="3" t="s">
        <v>126</v>
      </c>
      <c r="C55" s="4" t="s">
        <v>139</v>
      </c>
      <c r="D55" s="4" t="s">
        <v>112</v>
      </c>
      <c r="E55" s="4" t="s">
        <v>113</v>
      </c>
      <c r="F55" s="3" t="s">
        <v>17</v>
      </c>
      <c r="G55" s="5" t="n">
        <v>2.55</v>
      </c>
      <c r="H55" s="3" t="s">
        <v>18</v>
      </c>
      <c r="I55" s="3" t="s">
        <v>18</v>
      </c>
      <c r="J55" s="10" t="s">
        <v>33</v>
      </c>
      <c r="K55" s="7" t="n">
        <v>1</v>
      </c>
      <c r="L55" s="8" t="n">
        <f aca="false">IF(J55="GANADO",G55-1,-1)</f>
        <v>-1</v>
      </c>
      <c r="M55" s="9" t="n">
        <f aca="false">M54+L55</f>
        <v>14.9</v>
      </c>
    </row>
    <row r="56" customFormat="false" ht="15" hidden="false" customHeight="true" outlineLevel="0" collapsed="false">
      <c r="A56" s="3" t="n">
        <v>230</v>
      </c>
      <c r="B56" s="3" t="s">
        <v>126</v>
      </c>
      <c r="C56" s="4" t="s">
        <v>140</v>
      </c>
      <c r="D56" s="4" t="s">
        <v>31</v>
      </c>
      <c r="E56" s="4" t="s">
        <v>32</v>
      </c>
      <c r="F56" s="3" t="s">
        <v>17</v>
      </c>
      <c r="G56" s="5" t="n">
        <v>1.9</v>
      </c>
      <c r="H56" s="3" t="s">
        <v>18</v>
      </c>
      <c r="I56" s="3" t="s">
        <v>18</v>
      </c>
      <c r="J56" s="6" t="s">
        <v>20</v>
      </c>
      <c r="K56" s="7" t="n">
        <v>1</v>
      </c>
      <c r="L56" s="8" t="n">
        <f aca="false">IF(J56="GANADO",G56-1,-1)</f>
        <v>0.9</v>
      </c>
      <c r="M56" s="9" t="n">
        <f aca="false">M55+L56</f>
        <v>15.8</v>
      </c>
    </row>
    <row r="57" customFormat="false" ht="15" hidden="false" customHeight="true" outlineLevel="0" collapsed="false">
      <c r="A57" s="3" t="n">
        <v>246</v>
      </c>
      <c r="B57" s="3" t="s">
        <v>141</v>
      </c>
      <c r="C57" s="4" t="s">
        <v>142</v>
      </c>
      <c r="D57" s="4" t="s">
        <v>15</v>
      </c>
      <c r="E57" s="4" t="s">
        <v>16</v>
      </c>
      <c r="F57" s="3" t="s">
        <v>17</v>
      </c>
      <c r="G57" s="5" t="n">
        <v>1.78</v>
      </c>
      <c r="H57" s="3" t="s">
        <v>18</v>
      </c>
      <c r="I57" s="3" t="s">
        <v>18</v>
      </c>
      <c r="J57" s="6" t="s">
        <v>20</v>
      </c>
      <c r="K57" s="7" t="n">
        <v>1</v>
      </c>
      <c r="L57" s="8" t="n">
        <f aca="false">IF(J57="GANADO",G57-1,-1)</f>
        <v>0.78</v>
      </c>
      <c r="M57" s="9" t="n">
        <f aca="false">M56+L57</f>
        <v>16.58</v>
      </c>
    </row>
    <row r="58" customFormat="false" ht="15" hidden="false" customHeight="true" outlineLevel="0" collapsed="false">
      <c r="A58" s="3" t="n">
        <v>247</v>
      </c>
      <c r="B58" s="3" t="s">
        <v>141</v>
      </c>
      <c r="C58" s="4" t="s">
        <v>143</v>
      </c>
      <c r="D58" s="4" t="s">
        <v>54</v>
      </c>
      <c r="E58" s="4" t="s">
        <v>55</v>
      </c>
      <c r="F58" s="3" t="s">
        <v>56</v>
      </c>
      <c r="G58" s="5" t="n">
        <v>2.12</v>
      </c>
      <c r="H58" s="3" t="s">
        <v>18</v>
      </c>
      <c r="I58" s="3" t="s">
        <v>18</v>
      </c>
      <c r="J58" s="10" t="s">
        <v>33</v>
      </c>
      <c r="K58" s="7" t="n">
        <v>1</v>
      </c>
      <c r="L58" s="8" t="n">
        <f aca="false">IF(J58="GANADO",G58-1,-1)</f>
        <v>-1</v>
      </c>
      <c r="M58" s="9" t="n">
        <f aca="false">M57+L58</f>
        <v>15.58</v>
      </c>
    </row>
    <row r="59" customFormat="false" ht="15" hidden="false" customHeight="true" outlineLevel="0" collapsed="false">
      <c r="A59" s="3" t="n">
        <v>248</v>
      </c>
      <c r="B59" s="3" t="s">
        <v>141</v>
      </c>
      <c r="C59" s="4" t="s">
        <v>144</v>
      </c>
      <c r="D59" s="4" t="s">
        <v>128</v>
      </c>
      <c r="E59" s="4" t="s">
        <v>129</v>
      </c>
      <c r="F59" s="3" t="s">
        <v>17</v>
      </c>
      <c r="G59" s="5" t="n">
        <v>1.52</v>
      </c>
      <c r="H59" s="3" t="s">
        <v>18</v>
      </c>
      <c r="I59" s="3" t="s">
        <v>18</v>
      </c>
      <c r="J59" s="6" t="s">
        <v>20</v>
      </c>
      <c r="K59" s="7" t="n">
        <v>1</v>
      </c>
      <c r="L59" s="8" t="n">
        <f aca="false">IF(J59="GANADO",G59-1,-1)</f>
        <v>0.52</v>
      </c>
      <c r="M59" s="9" t="n">
        <f aca="false">M58+L59</f>
        <v>16.1</v>
      </c>
    </row>
    <row r="60" customFormat="false" ht="15" hidden="false" customHeight="true" outlineLevel="0" collapsed="false">
      <c r="A60" s="3" t="n">
        <v>249</v>
      </c>
      <c r="B60" s="3" t="s">
        <v>141</v>
      </c>
      <c r="C60" s="4" t="s">
        <v>145</v>
      </c>
      <c r="D60" s="4" t="s">
        <v>76</v>
      </c>
      <c r="E60" s="4" t="s">
        <v>77</v>
      </c>
      <c r="F60" s="3" t="s">
        <v>17</v>
      </c>
      <c r="G60" s="5" t="n">
        <v>1.81</v>
      </c>
      <c r="H60" s="3" t="s">
        <v>18</v>
      </c>
      <c r="I60" s="3" t="s">
        <v>18</v>
      </c>
      <c r="J60" s="10" t="s">
        <v>33</v>
      </c>
      <c r="K60" s="7" t="n">
        <v>1</v>
      </c>
      <c r="L60" s="8" t="n">
        <f aca="false">IF(J60="GANADO",G60-1,-1)</f>
        <v>-1</v>
      </c>
      <c r="M60" s="9" t="n">
        <f aca="false">M59+L60</f>
        <v>15.1</v>
      </c>
    </row>
    <row r="61" customFormat="false" ht="15" hidden="false" customHeight="true" outlineLevel="0" collapsed="false">
      <c r="A61" s="3" t="n">
        <v>250</v>
      </c>
      <c r="B61" s="3" t="s">
        <v>141</v>
      </c>
      <c r="C61" s="4" t="s">
        <v>146</v>
      </c>
      <c r="D61" s="4" t="s">
        <v>92</v>
      </c>
      <c r="E61" s="4" t="s">
        <v>93</v>
      </c>
      <c r="F61" s="3" t="s">
        <v>17</v>
      </c>
      <c r="G61" s="5" t="n">
        <v>1.72</v>
      </c>
      <c r="H61" s="3" t="s">
        <v>18</v>
      </c>
      <c r="I61" s="3" t="s">
        <v>18</v>
      </c>
      <c r="J61" s="6" t="s">
        <v>20</v>
      </c>
      <c r="K61" s="7" t="n">
        <v>1</v>
      </c>
      <c r="L61" s="8" t="n">
        <f aca="false">IF(J61="GANADO",G61-1,-1)</f>
        <v>0.72</v>
      </c>
      <c r="M61" s="9" t="n">
        <f aca="false">M60+L61</f>
        <v>15.82</v>
      </c>
    </row>
    <row r="62" customFormat="false" ht="15" hidden="false" customHeight="true" outlineLevel="0" collapsed="false">
      <c r="A62" s="3" t="n">
        <v>251</v>
      </c>
      <c r="B62" s="3" t="s">
        <v>141</v>
      </c>
      <c r="C62" s="4" t="s">
        <v>147</v>
      </c>
      <c r="D62" s="4" t="s">
        <v>107</v>
      </c>
      <c r="E62" s="4" t="s">
        <v>108</v>
      </c>
      <c r="F62" s="3" t="s">
        <v>17</v>
      </c>
      <c r="G62" s="5" t="n">
        <v>1.71</v>
      </c>
      <c r="H62" s="3" t="s">
        <v>18</v>
      </c>
      <c r="I62" s="3" t="s">
        <v>18</v>
      </c>
      <c r="J62" s="6" t="s">
        <v>20</v>
      </c>
      <c r="K62" s="7" t="n">
        <v>1</v>
      </c>
      <c r="L62" s="8" t="n">
        <f aca="false">IF(J62="GANADO",G62-1,-1)</f>
        <v>0.71</v>
      </c>
      <c r="M62" s="9" t="n">
        <f aca="false">M61+L62</f>
        <v>16.53</v>
      </c>
    </row>
    <row r="63" customFormat="false" ht="15" hidden="false" customHeight="true" outlineLevel="0" collapsed="false">
      <c r="A63" s="3" t="n">
        <v>252</v>
      </c>
      <c r="B63" s="3" t="s">
        <v>141</v>
      </c>
      <c r="C63" s="4" t="s">
        <v>148</v>
      </c>
      <c r="D63" s="4" t="s">
        <v>149</v>
      </c>
      <c r="E63" s="4" t="s">
        <v>81</v>
      </c>
      <c r="F63" s="3" t="s">
        <v>17</v>
      </c>
      <c r="G63" s="5" t="n">
        <v>1.9</v>
      </c>
      <c r="H63" s="3" t="s">
        <v>18</v>
      </c>
      <c r="I63" s="3" t="s">
        <v>18</v>
      </c>
      <c r="J63" s="10" t="s">
        <v>33</v>
      </c>
      <c r="K63" s="7" t="n">
        <v>1</v>
      </c>
      <c r="L63" s="8" t="n">
        <f aca="false">IF(J63="GANADO",G63-1,-1)</f>
        <v>-1</v>
      </c>
      <c r="M63" s="9" t="n">
        <f aca="false">M62+L63</f>
        <v>15.53</v>
      </c>
    </row>
    <row r="64" customFormat="false" ht="15" hidden="false" customHeight="true" outlineLevel="0" collapsed="false">
      <c r="A64" s="3" t="n">
        <v>313</v>
      </c>
      <c r="B64" s="3" t="s">
        <v>150</v>
      </c>
      <c r="C64" s="4" t="s">
        <v>151</v>
      </c>
      <c r="D64" s="4" t="s">
        <v>28</v>
      </c>
      <c r="E64" s="4" t="s">
        <v>29</v>
      </c>
      <c r="F64" s="3" t="s">
        <v>17</v>
      </c>
      <c r="G64" s="5" t="n">
        <v>1.98</v>
      </c>
      <c r="H64" s="3" t="s">
        <v>18</v>
      </c>
      <c r="I64" s="3" t="s">
        <v>18</v>
      </c>
      <c r="J64" s="6" t="s">
        <v>20</v>
      </c>
      <c r="K64" s="7" t="n">
        <v>1</v>
      </c>
      <c r="L64" s="8" t="n">
        <f aca="false">IF(J64="GANADO",G64-1,-1)</f>
        <v>0.98</v>
      </c>
      <c r="M64" s="9" t="n">
        <f aca="false">M63+L64</f>
        <v>16.51</v>
      </c>
    </row>
    <row r="65" customFormat="false" ht="15" hidden="false" customHeight="true" outlineLevel="0" collapsed="false">
      <c r="A65" s="3" t="n">
        <v>314</v>
      </c>
      <c r="B65" s="3" t="s">
        <v>150</v>
      </c>
      <c r="C65" s="4" t="s">
        <v>152</v>
      </c>
      <c r="D65" s="4" t="s">
        <v>35</v>
      </c>
      <c r="E65" s="4" t="s">
        <v>36</v>
      </c>
      <c r="F65" s="3" t="s">
        <v>17</v>
      </c>
      <c r="G65" s="5" t="n">
        <v>1.56</v>
      </c>
      <c r="H65" s="3" t="s">
        <v>18</v>
      </c>
      <c r="I65" s="3" t="s">
        <v>18</v>
      </c>
      <c r="J65" s="10" t="s">
        <v>33</v>
      </c>
      <c r="K65" s="7" t="n">
        <v>1</v>
      </c>
      <c r="L65" s="8" t="n">
        <f aca="false">IF(J65="GANADO",G65-1,-1)</f>
        <v>-1</v>
      </c>
      <c r="M65" s="9" t="n">
        <f aca="false">M64+L65</f>
        <v>15.51</v>
      </c>
    </row>
    <row r="66" customFormat="false" ht="15" hidden="false" customHeight="true" outlineLevel="0" collapsed="false">
      <c r="A66" s="3" t="n">
        <v>315</v>
      </c>
      <c r="B66" s="3" t="s">
        <v>150</v>
      </c>
      <c r="C66" s="4" t="s">
        <v>153</v>
      </c>
      <c r="D66" s="4" t="s">
        <v>25</v>
      </c>
      <c r="E66" s="4" t="s">
        <v>26</v>
      </c>
      <c r="F66" s="3" t="s">
        <v>17</v>
      </c>
      <c r="G66" s="5" t="n">
        <v>2.11</v>
      </c>
      <c r="H66" s="3" t="s">
        <v>18</v>
      </c>
      <c r="I66" s="3" t="s">
        <v>18</v>
      </c>
      <c r="J66" s="6" t="s">
        <v>20</v>
      </c>
      <c r="K66" s="7" t="n">
        <v>1</v>
      </c>
      <c r="L66" s="8" t="n">
        <f aca="false">IF(J66="GANADO",G66-1,-1)</f>
        <v>1.11</v>
      </c>
      <c r="M66" s="9" t="n">
        <f aca="false">M65+L66</f>
        <v>16.62</v>
      </c>
    </row>
    <row r="67" customFormat="false" ht="15" hidden="false" customHeight="true" outlineLevel="0" collapsed="false">
      <c r="A67" s="3" t="n">
        <v>317</v>
      </c>
      <c r="B67" s="3" t="s">
        <v>150</v>
      </c>
      <c r="C67" s="4" t="s">
        <v>154</v>
      </c>
      <c r="D67" s="4" t="s">
        <v>42</v>
      </c>
      <c r="E67" s="4" t="s">
        <v>43</v>
      </c>
      <c r="F67" s="3" t="s">
        <v>17</v>
      </c>
      <c r="G67" s="5" t="n">
        <v>2</v>
      </c>
      <c r="H67" s="3" t="s">
        <v>18</v>
      </c>
      <c r="I67" s="3" t="s">
        <v>18</v>
      </c>
      <c r="J67" s="10" t="s">
        <v>33</v>
      </c>
      <c r="K67" s="7" t="n">
        <v>1</v>
      </c>
      <c r="L67" s="8" t="n">
        <f aca="false">IF(J67="GANADO",G67-1,-1)</f>
        <v>-1</v>
      </c>
      <c r="M67" s="9" t="n">
        <f aca="false">M66+L67</f>
        <v>15.62</v>
      </c>
    </row>
    <row r="68" customFormat="false" ht="15" hidden="false" customHeight="true" outlineLevel="0" collapsed="false">
      <c r="A68" s="11"/>
      <c r="B68" s="11"/>
      <c r="C68" s="11"/>
      <c r="D68" s="12" t="s">
        <v>155</v>
      </c>
      <c r="E68" s="11"/>
      <c r="F68" s="11"/>
      <c r="G68" s="11"/>
      <c r="H68" s="11"/>
      <c r="I68" s="11"/>
      <c r="J68" s="12" t="str">
        <f aca="false">COUNTIF(J2:J67,"GANADO")&amp;"-"&amp;COUNTIF(J2:J67,"PERDIDO")</f>
        <v>42-24</v>
      </c>
      <c r="K68" s="12" t="n">
        <f aca="false">SUM(K2:K67)</f>
        <v>66</v>
      </c>
      <c r="L68" s="13" t="n">
        <f aca="false">SUM(L2:L67)</f>
        <v>15.62</v>
      </c>
      <c r="M68" s="13" t="n">
        <f aca="false">M67</f>
        <v>15.62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19.5" hidden="false" customHeight="true" outlineLevel="0" collapsed="false">
      <c r="A1" s="14" t="s">
        <v>156</v>
      </c>
    </row>
    <row r="2" customFormat="false" ht="15" hidden="false" customHeight="true" outlineLevel="0" collapsed="false">
      <c r="A2" s="15" t="s">
        <v>157</v>
      </c>
    </row>
    <row r="4" customFormat="false" ht="15" hidden="false" customHeight="true" outlineLevel="0" collapsed="false">
      <c r="A4" s="16" t="s">
        <v>158</v>
      </c>
    </row>
    <row r="5" customFormat="false" ht="15" hidden="false" customHeight="true" outlineLevel="0" collapsed="false">
      <c r="A5" s="17" t="s">
        <v>159</v>
      </c>
      <c r="B5" s="18" t="n">
        <f aca="false">COUNTA(Picks!A2:A67)</f>
        <v>66</v>
      </c>
    </row>
    <row r="6" customFormat="false" ht="15" hidden="false" customHeight="true" outlineLevel="0" collapsed="false">
      <c r="A6" s="17" t="s">
        <v>160</v>
      </c>
      <c r="B6" s="18" t="n">
        <f aca="false">COUNTIF(Picks!J2:J67,"GANADO")</f>
        <v>42</v>
      </c>
    </row>
    <row r="7" customFormat="false" ht="15" hidden="false" customHeight="true" outlineLevel="0" collapsed="false">
      <c r="A7" s="17" t="s">
        <v>161</v>
      </c>
      <c r="B7" s="19" t="n">
        <f aca="false">COUNTIF(Picks!J2:J67,"PERDIDO")</f>
        <v>24</v>
      </c>
    </row>
    <row r="8" customFormat="false" ht="15" hidden="false" customHeight="true" outlineLevel="0" collapsed="false">
      <c r="A8" s="17" t="s">
        <v>162</v>
      </c>
      <c r="B8" s="19" t="n">
        <f aca="false">B6/(B6+B7)</f>
        <v>0.636363636363636</v>
      </c>
    </row>
    <row r="9" customFormat="false" ht="15" hidden="false" customHeight="true" outlineLevel="0" collapsed="false">
      <c r="A9" s="17" t="s">
        <v>163</v>
      </c>
      <c r="B9" s="20" t="n">
        <f aca="false">AVERAGE(Picks!G2:G67)</f>
        <v>1.93590909090909</v>
      </c>
    </row>
    <row r="10" customFormat="false" ht="15" hidden="false" customHeight="true" outlineLevel="0" collapsed="false">
      <c r="A10" s="17" t="s">
        <v>164</v>
      </c>
      <c r="B10" s="18" t="n">
        <f aca="false">SUM(Picks!K2:K67)</f>
        <v>66</v>
      </c>
    </row>
    <row r="11" customFormat="false" ht="15" hidden="false" customHeight="true" outlineLevel="0" collapsed="false">
      <c r="A11" s="17" t="s">
        <v>11</v>
      </c>
      <c r="B11" s="21" t="n">
        <f aca="false">SUM(Picks!L2:L67)</f>
        <v>15.62</v>
      </c>
    </row>
    <row r="12" customFormat="false" ht="15" hidden="false" customHeight="true" outlineLevel="0" collapsed="false">
      <c r="A12" s="17" t="s">
        <v>165</v>
      </c>
      <c r="B12" s="19" t="n">
        <f aca="false">B11/B10</f>
        <v>0.236666666666667</v>
      </c>
    </row>
    <row r="13" customFormat="false" ht="15" hidden="false" customHeight="true" outlineLevel="0" collapsed="false">
      <c r="A13" s="17" t="s">
        <v>166</v>
      </c>
      <c r="B13" s="18" t="n">
        <v>7</v>
      </c>
    </row>
    <row r="14" customFormat="false" ht="15" hidden="false" customHeight="true" outlineLevel="0" collapsed="false">
      <c r="A14" s="17" t="s">
        <v>167</v>
      </c>
      <c r="B14" s="18" t="n">
        <v>4</v>
      </c>
    </row>
    <row r="15" customFormat="false" ht="15" hidden="false" customHeight="true" outlineLevel="0" collapsed="false">
      <c r="A15" s="17" t="s">
        <v>168</v>
      </c>
      <c r="B15" s="20" t="n">
        <v>-2.12</v>
      </c>
    </row>
    <row r="17" customFormat="false" ht="15" hidden="false" customHeight="true" outlineLevel="0" collapsed="false">
      <c r="A17" s="16" t="s">
        <v>169</v>
      </c>
    </row>
    <row r="18" customFormat="false" ht="15" hidden="false" customHeight="true" outlineLevel="0" collapsed="false">
      <c r="A18" s="18" t="s">
        <v>170</v>
      </c>
      <c r="B18" s="18" t="s">
        <v>171</v>
      </c>
      <c r="C18" s="18" t="s">
        <v>172</v>
      </c>
    </row>
    <row r="19" customFormat="false" ht="15" hidden="false" customHeight="true" outlineLevel="0" collapsed="false">
      <c r="A19" s="17" t="s">
        <v>173</v>
      </c>
      <c r="B19" s="22" t="n">
        <f aca="false">$B$11*100</f>
        <v>1562</v>
      </c>
      <c r="C19" s="22" t="n">
        <f aca="false">$B$10*100</f>
        <v>6600</v>
      </c>
    </row>
    <row r="20" customFormat="false" ht="15" hidden="false" customHeight="true" outlineLevel="0" collapsed="false">
      <c r="A20" s="17" t="s">
        <v>174</v>
      </c>
      <c r="B20" s="22" t="n">
        <f aca="false">$B$11*500</f>
        <v>7810</v>
      </c>
      <c r="C20" s="22" t="n">
        <f aca="false">$B$10*500</f>
        <v>33000</v>
      </c>
    </row>
    <row r="21" customFormat="false" ht="15" hidden="false" customHeight="true" outlineLevel="0" collapsed="false">
      <c r="A21" s="17" t="s">
        <v>175</v>
      </c>
      <c r="B21" s="22" t="n">
        <f aca="false">$B$11*1000</f>
        <v>15620</v>
      </c>
      <c r="C21" s="22" t="n">
        <f aca="false">$B$10*1000</f>
        <v>66000</v>
      </c>
    </row>
    <row r="23" customFormat="false" ht="15" hidden="false" customHeight="true" outlineLevel="0" collapsed="false">
      <c r="A23" s="16" t="s">
        <v>176</v>
      </c>
    </row>
    <row r="24" customFormat="false" ht="15" hidden="false" customHeight="true" outlineLevel="0" collapsed="false">
      <c r="A24" s="18" t="s">
        <v>177</v>
      </c>
      <c r="B24" s="18" t="s">
        <v>160</v>
      </c>
      <c r="C24" s="18" t="s">
        <v>161</v>
      </c>
      <c r="D24" s="18" t="s">
        <v>178</v>
      </c>
    </row>
    <row r="25" customFormat="false" ht="15" hidden="false" customHeight="true" outlineLevel="0" collapsed="false">
      <c r="A25" s="23" t="s">
        <v>179</v>
      </c>
      <c r="B25" s="23" t="n">
        <f aca="false">COUNTIFS(Picks!G2:G67,"&gt;=1.4",Picks!G2:G67,"&lt;1.6",Picks!J2:J67,"GANADO")</f>
        <v>1</v>
      </c>
      <c r="C25" s="23" t="n">
        <f aca="false">COUNTIFS(Picks!G2:G67,"&gt;=1.4",Picks!G2:G67,"&lt;1.6",Picks!J2:J67,"PERDIDO")</f>
        <v>2</v>
      </c>
      <c r="D25" s="24" t="n">
        <f aca="false">IFERROR(SUMIFS(Picks!L2:L67,Picks!G2:G67,"&gt;=1.4",Picks!G2:G67,"&lt;1.6")/(B25+C25),0)</f>
        <v>-0.493333333333333</v>
      </c>
    </row>
    <row r="26" customFormat="false" ht="15" hidden="false" customHeight="true" outlineLevel="0" collapsed="false">
      <c r="A26" s="23" t="s">
        <v>180</v>
      </c>
      <c r="B26" s="23" t="n">
        <f aca="false">COUNTIFS(Picks!G2:G67,"&gt;=1.6",Picks!G2:G67,"&lt;1.8",Picks!J2:J67,"GANADO")</f>
        <v>13</v>
      </c>
      <c r="C26" s="23" t="n">
        <f aca="false">COUNTIFS(Picks!G2:G67,"&gt;=1.6",Picks!G2:G67,"&lt;1.8",Picks!J2:J67,"PERDIDO")</f>
        <v>5</v>
      </c>
      <c r="D26" s="24" t="n">
        <f aca="false">IFERROR(SUMIFS(Picks!L2:L67,Picks!G2:G67,"&gt;=1.6",Picks!G2:G67,"&lt;1.8")/(B26+C26),0)</f>
        <v>0.241111111111111</v>
      </c>
    </row>
    <row r="27" customFormat="false" ht="15" hidden="false" customHeight="true" outlineLevel="0" collapsed="false">
      <c r="A27" s="23" t="s">
        <v>181</v>
      </c>
      <c r="B27" s="23" t="n">
        <f aca="false">COUNTIFS(Picks!G2:G67,"&gt;=1.8",Picks!G2:G67,"&lt;2.0",Picks!J2:J67,"GANADO")</f>
        <v>13</v>
      </c>
      <c r="C27" s="23" t="n">
        <f aca="false">COUNTIFS(Picks!G2:G67,"&gt;=1.8",Picks!G2:G67,"&lt;2.0",Picks!J2:J67,"PERDIDO")</f>
        <v>7</v>
      </c>
      <c r="D27" s="24" t="n">
        <f aca="false">IFERROR(SUMIFS(Picks!L2:L67,Picks!G2:G67,"&gt;=1.8",Picks!G2:G67,"&lt;2.0")/(B27+C27),0)</f>
        <v>0.22</v>
      </c>
    </row>
    <row r="28" customFormat="false" ht="15" hidden="false" customHeight="true" outlineLevel="0" collapsed="false">
      <c r="A28" s="23" t="s">
        <v>182</v>
      </c>
      <c r="B28" s="23" t="n">
        <f aca="false">COUNTIFS(Picks!G2:G67,"&gt;=2.0",Picks!G2:G67,"&lt;9.99",Picks!J2:J67,"GANADO")</f>
        <v>15</v>
      </c>
      <c r="C28" s="23" t="n">
        <f aca="false">COUNTIFS(Picks!G2:G67,"&gt;=2.0",Picks!G2:G67,"&lt;9.99",Picks!J2:J67,"PERDIDO")</f>
        <v>10</v>
      </c>
      <c r="D28" s="24" t="n">
        <f aca="false">IFERROR(SUMIFS(Picks!L2:L67,Picks!G2:G67,"&gt;=2.0",Picks!G2:G67,"&lt;9.99")/(B28+C28),0)</f>
        <v>0.3344</v>
      </c>
    </row>
    <row r="30" customFormat="false" ht="15" hidden="false" customHeight="true" outlineLevel="0" collapsed="false">
      <c r="A30" s="16" t="s">
        <v>183</v>
      </c>
    </row>
    <row r="31" customFormat="false" ht="15" hidden="false" customHeight="true" outlineLevel="0" collapsed="false">
      <c r="A31" s="23" t="s">
        <v>184</v>
      </c>
      <c r="B31" s="23" t="n">
        <f aca="false">COUNTIFS(Picks!H2:H67,"No",Picks!J2:J67,"GANADO")</f>
        <v>31</v>
      </c>
      <c r="C31" s="23" t="n">
        <f aca="false">COUNTIFS(Picks!H2:H67,"No",Picks!J2:J67,"PERDIDO")</f>
        <v>20</v>
      </c>
      <c r="D31" s="24" t="n">
        <f aca="false">IFERROR(SUMIFS(Picks!L2:L67,Picks!H2:H67,"No")/(B31+C31),0)</f>
        <v>0.165098039215686</v>
      </c>
    </row>
    <row r="32" customFormat="false" ht="15" hidden="false" customHeight="true" outlineLevel="0" collapsed="false">
      <c r="A32" s="23" t="s">
        <v>7</v>
      </c>
      <c r="B32" s="23" t="n">
        <f aca="false">COUNTIFS(Picks!H2:H67,"Sí",Picks!J2:J67,"GANADO")</f>
        <v>11</v>
      </c>
      <c r="C32" s="23" t="n">
        <f aca="false">COUNTIFS(Picks!H2:H67,"Sí",Picks!J2:J67,"PERDIDO")</f>
        <v>4</v>
      </c>
      <c r="D32" s="24" t="n">
        <f aca="false">IFERROR(SUMIFS(Picks!L2:L67,Picks!H2:H67,"Sí")/(B32+C32),0)</f>
        <v>0.48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14" t="s">
        <v>185</v>
      </c>
    </row>
    <row r="2" customFormat="false" ht="15" hidden="false" customHeight="true" outlineLevel="0" collapsed="false">
      <c r="A2" s="25"/>
    </row>
    <row r="3" customFormat="false" ht="15" hidden="false" customHeight="true" outlineLevel="0" collapsed="false">
      <c r="A3" s="25" t="s">
        <v>186</v>
      </c>
    </row>
    <row r="4" customFormat="false" ht="15" hidden="false" customHeight="true" outlineLevel="0" collapsed="false">
      <c r="A4" s="25" t="s">
        <v>187</v>
      </c>
    </row>
    <row r="5" customFormat="false" ht="15" hidden="false" customHeight="true" outlineLevel="0" collapsed="false">
      <c r="A5" s="25"/>
    </row>
    <row r="6" customFormat="false" ht="15" hidden="false" customHeight="true" outlineLevel="0" collapsed="false">
      <c r="A6" s="25" t="s">
        <v>188</v>
      </c>
    </row>
    <row r="7" customFormat="false" ht="15" hidden="false" customHeight="true" outlineLevel="0" collapsed="false">
      <c r="A7" s="25" t="s">
        <v>189</v>
      </c>
    </row>
    <row r="8" customFormat="false" ht="15" hidden="false" customHeight="true" outlineLevel="0" collapsed="false">
      <c r="A8" s="26" t="s">
        <v>190</v>
      </c>
    </row>
    <row r="9" customFormat="false" ht="15" hidden="false" customHeight="true" outlineLevel="0" collapsed="false">
      <c r="A9" s="27" t="s">
        <v>191</v>
      </c>
    </row>
    <row r="10" customFormat="false" ht="15" hidden="false" customHeight="true" outlineLevel="0" collapsed="false">
      <c r="A10" s="25" t="s">
        <v>192</v>
      </c>
    </row>
    <row r="11" customFormat="false" ht="15" hidden="false" customHeight="true" outlineLevel="0" collapsed="false">
      <c r="A11" s="25" t="s">
        <v>193</v>
      </c>
    </row>
    <row r="12" customFormat="false" ht="15" hidden="false" customHeight="true" outlineLevel="0" collapsed="false">
      <c r="A12" s="25"/>
    </row>
    <row r="13" customFormat="false" ht="15" hidden="false" customHeight="true" outlineLevel="0" collapsed="false">
      <c r="A13" s="27" t="s">
        <v>194</v>
      </c>
    </row>
    <row r="14" customFormat="false" ht="15" hidden="false" customHeight="true" outlineLevel="0" collapsed="false">
      <c r="A14" s="25" t="s">
        <v>195</v>
      </c>
    </row>
    <row r="15" customFormat="false" ht="15" hidden="false" customHeight="true" outlineLevel="0" collapsed="false">
      <c r="A15" s="25"/>
    </row>
    <row r="16" customFormat="false" ht="15" hidden="false" customHeight="true" outlineLevel="0" collapsed="false">
      <c r="A16" s="28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2026-09-09T15:53:03Z</dcterms:created>
  <dc:creator>openpyxl</dc:creator>
  <dc:description/>
  <dc:language>en-US</dc:language>
  <cp:lastModifiedBy/>
  <dcterms:modified xsi:type="dcterms:W3CDTF">2026-09-09T15:53:23Z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